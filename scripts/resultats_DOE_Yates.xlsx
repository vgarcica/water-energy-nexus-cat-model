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ki\Dropbox\Trabajos\Energía\"/>
    </mc:Choice>
  </mc:AlternateContent>
  <xr:revisionPtr revIDLastSave="0" documentId="13_ncr:1_{C2F65573-74E4-43BE-BA90-E376473A7A0F}" xr6:coauthVersionLast="47" xr6:coauthVersionMax="47" xr10:uidLastSave="{00000000-0000-0000-0000-000000000000}"/>
  <bookViews>
    <workbookView xWindow="4365" yWindow="75" windowWidth="20220" windowHeight="15525" activeTab="2" xr2:uid="{00000000-000D-0000-FFFF-FFFF00000000}"/>
  </bookViews>
  <sheets>
    <sheet name="Experiments" sheetId="1" r:id="rId1"/>
    <sheet name="Efectes_Principals" sheetId="2" r:id="rId2"/>
    <sheet name="Interaccions_2Way" sheetId="3" r:id="rId3"/>
    <sheet name="Resum_Objectius" sheetId="4" r:id="rId4"/>
    <sheet name="Yates_min_nivell" sheetId="5" r:id="rId5"/>
    <sheet name="Yates_termica_imports" sheetId="6" r:id="rId6"/>
    <sheet name="Yates_excedents" sheetId="7" r:id="rId7"/>
    <sheet name="Yates_costos" sheetId="8" r:id="rId8"/>
    <sheet name="Yates_factor_capacitat" sheetId="9" r:id="rId9"/>
    <sheet name="Yates_amplitud_estacional" sheetId="10" r:id="rId10"/>
    <sheet name="Yates_msd_nivell" sheetId="11" r:id="rId11"/>
    <sheet name="Resum_Interaccio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9" i="11" l="1"/>
  <c r="K128" i="11"/>
  <c r="K127" i="11"/>
  <c r="K126" i="11"/>
  <c r="M125" i="11"/>
  <c r="K125" i="11"/>
  <c r="L127" i="11" s="1"/>
  <c r="M124" i="11"/>
  <c r="K124" i="11"/>
  <c r="K123" i="11"/>
  <c r="M122" i="11"/>
  <c r="K122" i="11"/>
  <c r="K121" i="11"/>
  <c r="K120" i="11"/>
  <c r="K119" i="11"/>
  <c r="L124" i="11" s="1"/>
  <c r="K118" i="11"/>
  <c r="K117" i="11"/>
  <c r="L123" i="11" s="1"/>
  <c r="K116" i="11"/>
  <c r="K115" i="11"/>
  <c r="L122" i="11" s="1"/>
  <c r="K114" i="11"/>
  <c r="K113" i="11"/>
  <c r="L121" i="11" s="1"/>
  <c r="K112" i="11"/>
  <c r="K111" i="11"/>
  <c r="L120" i="11" s="1"/>
  <c r="K110" i="11"/>
  <c r="K109" i="11"/>
  <c r="L119" i="11" s="1"/>
  <c r="K108" i="11"/>
  <c r="K107" i="11"/>
  <c r="L118" i="11" s="1"/>
  <c r="K106" i="11"/>
  <c r="K105" i="11"/>
  <c r="L117" i="11" s="1"/>
  <c r="K104" i="11"/>
  <c r="K103" i="11"/>
  <c r="L116" i="11" s="1"/>
  <c r="K102" i="11"/>
  <c r="K101" i="11"/>
  <c r="L115" i="11" s="1"/>
  <c r="K100" i="11"/>
  <c r="K99" i="11"/>
  <c r="L114" i="11" s="1"/>
  <c r="K98" i="11"/>
  <c r="K97" i="11"/>
  <c r="L113" i="11" s="1"/>
  <c r="K96" i="11"/>
  <c r="K95" i="11"/>
  <c r="K94" i="11"/>
  <c r="L48" i="11" s="1"/>
  <c r="M93" i="11"/>
  <c r="K93" i="11"/>
  <c r="L111" i="11" s="1"/>
  <c r="K92" i="11"/>
  <c r="K91" i="11"/>
  <c r="L110" i="11" s="1"/>
  <c r="M90" i="11"/>
  <c r="K90" i="11"/>
  <c r="K89" i="11"/>
  <c r="K88" i="11"/>
  <c r="L45" i="11" s="1"/>
  <c r="M87" i="11"/>
  <c r="K87" i="11"/>
  <c r="L108" i="11" s="1"/>
  <c r="K86" i="11"/>
  <c r="K85" i="11"/>
  <c r="L107" i="11" s="1"/>
  <c r="M84" i="11"/>
  <c r="N43" i="11" s="1"/>
  <c r="K84" i="11"/>
  <c r="K83" i="11"/>
  <c r="K82" i="11"/>
  <c r="L42" i="11" s="1"/>
  <c r="K81" i="11"/>
  <c r="L105" i="11" s="1"/>
  <c r="K80" i="11"/>
  <c r="K79" i="11"/>
  <c r="L104" i="11" s="1"/>
  <c r="K78" i="11"/>
  <c r="K77" i="11"/>
  <c r="K76" i="11"/>
  <c r="L39" i="11" s="1"/>
  <c r="K75" i="11"/>
  <c r="L102" i="11" s="1"/>
  <c r="K74" i="11"/>
  <c r="K73" i="11"/>
  <c r="L101" i="11" s="1"/>
  <c r="K72" i="11"/>
  <c r="K71" i="11"/>
  <c r="K70" i="11"/>
  <c r="L36" i="11" s="1"/>
  <c r="K69" i="11"/>
  <c r="L99" i="11" s="1"/>
  <c r="K68" i="11"/>
  <c r="K67" i="11"/>
  <c r="L98" i="11" s="1"/>
  <c r="K66" i="11"/>
  <c r="L65" i="11"/>
  <c r="K65" i="11"/>
  <c r="L64" i="11"/>
  <c r="M33" i="11" s="1"/>
  <c r="K64" i="11"/>
  <c r="N63" i="11"/>
  <c r="L63" i="11"/>
  <c r="K63" i="11"/>
  <c r="M62" i="11"/>
  <c r="L62" i="11"/>
  <c r="K62" i="11"/>
  <c r="M61" i="11"/>
  <c r="L61" i="11"/>
  <c r="K61" i="11"/>
  <c r="M60" i="11"/>
  <c r="L60" i="11"/>
  <c r="K60" i="11"/>
  <c r="L31" i="11" s="1"/>
  <c r="M59" i="11"/>
  <c r="N94" i="11" s="1"/>
  <c r="L59" i="11"/>
  <c r="M94" i="11" s="1"/>
  <c r="K59" i="11"/>
  <c r="M58" i="11"/>
  <c r="L58" i="11"/>
  <c r="M30" i="11" s="1"/>
  <c r="K58" i="11"/>
  <c r="L57" i="11"/>
  <c r="K57" i="11"/>
  <c r="M56" i="11"/>
  <c r="L56" i="11"/>
  <c r="K56" i="11"/>
  <c r="L55" i="11"/>
  <c r="K55" i="11"/>
  <c r="L54" i="11"/>
  <c r="K54" i="11"/>
  <c r="M53" i="11"/>
  <c r="L53" i="11"/>
  <c r="K53" i="11"/>
  <c r="L91" i="11" s="1"/>
  <c r="L52" i="11"/>
  <c r="M27" i="11" s="1"/>
  <c r="K52" i="11"/>
  <c r="L51" i="11"/>
  <c r="K51" i="11"/>
  <c r="M50" i="11"/>
  <c r="L50" i="11"/>
  <c r="K50" i="11"/>
  <c r="L49" i="11"/>
  <c r="M89" i="11" s="1"/>
  <c r="K49" i="11"/>
  <c r="K48" i="11"/>
  <c r="L25" i="11" s="1"/>
  <c r="M77" i="11" s="1"/>
  <c r="L47" i="11"/>
  <c r="M88" i="11" s="1"/>
  <c r="N45" i="11" s="1"/>
  <c r="O87" i="11" s="1"/>
  <c r="K47" i="11"/>
  <c r="L88" i="11" s="1"/>
  <c r="L46" i="11"/>
  <c r="M24" i="11" s="1"/>
  <c r="K46" i="11"/>
  <c r="K45" i="11"/>
  <c r="L44" i="11"/>
  <c r="K44" i="11"/>
  <c r="L43" i="11"/>
  <c r="M86" i="11" s="1"/>
  <c r="N44" i="11" s="1"/>
  <c r="K43" i="11"/>
  <c r="K42" i="11"/>
  <c r="L41" i="11"/>
  <c r="M85" i="11" s="1"/>
  <c r="K41" i="11"/>
  <c r="L85" i="11" s="1"/>
  <c r="L40" i="11"/>
  <c r="M21" i="11" s="1"/>
  <c r="K40" i="11"/>
  <c r="K39" i="11"/>
  <c r="L38" i="11"/>
  <c r="K38" i="11"/>
  <c r="K37" i="11"/>
  <c r="K36" i="11"/>
  <c r="L19" i="11" s="1"/>
  <c r="M74" i="11" s="1"/>
  <c r="L35" i="11"/>
  <c r="K35" i="11"/>
  <c r="L82" i="11" s="1"/>
  <c r="L34" i="11"/>
  <c r="M18" i="11" s="1"/>
  <c r="K34" i="11"/>
  <c r="L33" i="11"/>
  <c r="K33" i="11"/>
  <c r="M32" i="11"/>
  <c r="N17" i="11" s="1"/>
  <c r="K32" i="11"/>
  <c r="N31" i="11"/>
  <c r="K31" i="11"/>
  <c r="N30" i="11"/>
  <c r="L30" i="11"/>
  <c r="K30" i="11"/>
  <c r="L16" i="11" s="1"/>
  <c r="M29" i="11"/>
  <c r="K29" i="11"/>
  <c r="L79" i="11" s="1"/>
  <c r="L28" i="11"/>
  <c r="K28" i="11"/>
  <c r="L27" i="11"/>
  <c r="K27" i="11"/>
  <c r="M26" i="11"/>
  <c r="N14" i="11" s="1"/>
  <c r="K26" i="11"/>
  <c r="K25" i="11"/>
  <c r="L24" i="11"/>
  <c r="K24" i="11"/>
  <c r="L13" i="11" s="1"/>
  <c r="M23" i="11"/>
  <c r="K23" i="11"/>
  <c r="L76" i="11" s="1"/>
  <c r="L22" i="11"/>
  <c r="K22" i="11"/>
  <c r="L21" i="11"/>
  <c r="K21" i="11"/>
  <c r="L75" i="11" s="1"/>
  <c r="M20" i="11"/>
  <c r="N11" i="11" s="1"/>
  <c r="K20" i="11"/>
  <c r="K19" i="11"/>
  <c r="L18" i="11"/>
  <c r="K18" i="11"/>
  <c r="K17" i="11"/>
  <c r="L73" i="11" s="1"/>
  <c r="K16" i="11"/>
  <c r="L15" i="11"/>
  <c r="K15" i="11"/>
  <c r="K14" i="11"/>
  <c r="L8" i="11" s="1"/>
  <c r="M69" i="11" s="1"/>
  <c r="M13" i="11"/>
  <c r="K13" i="11"/>
  <c r="L12" i="11"/>
  <c r="K12" i="11"/>
  <c r="L11" i="11"/>
  <c r="K11" i="11"/>
  <c r="M10" i="11"/>
  <c r="L10" i="11"/>
  <c r="K10" i="11"/>
  <c r="L9" i="11"/>
  <c r="K9" i="11"/>
  <c r="L69" i="11" s="1"/>
  <c r="K8" i="11"/>
  <c r="L5" i="11" s="1"/>
  <c r="M67" i="11" s="1"/>
  <c r="L7" i="11"/>
  <c r="K7" i="11"/>
  <c r="L6" i="11"/>
  <c r="K6" i="11"/>
  <c r="M5" i="11"/>
  <c r="K5" i="11"/>
  <c r="L67" i="11" s="1"/>
  <c r="M98" i="11" s="1"/>
  <c r="L4" i="11"/>
  <c r="K4" i="11"/>
  <c r="K3" i="11"/>
  <c r="L66" i="11" s="1"/>
  <c r="M34" i="11" s="1"/>
  <c r="K2" i="11"/>
  <c r="L2" i="11" s="1"/>
  <c r="L129" i="10"/>
  <c r="M129" i="10" s="1"/>
  <c r="K129" i="10"/>
  <c r="K128" i="10"/>
  <c r="K127" i="10"/>
  <c r="L128" i="10" s="1"/>
  <c r="K126" i="10"/>
  <c r="K125" i="10"/>
  <c r="L127" i="10" s="1"/>
  <c r="K124" i="10"/>
  <c r="K123" i="10"/>
  <c r="K122" i="10"/>
  <c r="K121" i="10"/>
  <c r="L125" i="10" s="1"/>
  <c r="M127" i="10" s="1"/>
  <c r="L120" i="10"/>
  <c r="M61" i="10" s="1"/>
  <c r="K120" i="10"/>
  <c r="K119" i="10"/>
  <c r="L124" i="10" s="1"/>
  <c r="K118" i="10"/>
  <c r="K117" i="10"/>
  <c r="K116" i="10"/>
  <c r="L123" i="10" s="1"/>
  <c r="M126" i="10" s="1"/>
  <c r="K115" i="10"/>
  <c r="L122" i="10" s="1"/>
  <c r="K114" i="10"/>
  <c r="K113" i="10"/>
  <c r="L121" i="10" s="1"/>
  <c r="K112" i="10"/>
  <c r="L111" i="10"/>
  <c r="K111" i="10"/>
  <c r="K110" i="10"/>
  <c r="K109" i="10"/>
  <c r="K108" i="10"/>
  <c r="L55" i="10" s="1"/>
  <c r="K107" i="10"/>
  <c r="K106" i="10"/>
  <c r="L54" i="10" s="1"/>
  <c r="M28" i="10" s="1"/>
  <c r="K105" i="10"/>
  <c r="L117" i="10" s="1"/>
  <c r="K104" i="10"/>
  <c r="K103" i="10"/>
  <c r="K102" i="10"/>
  <c r="L52" i="10" s="1"/>
  <c r="K101" i="10"/>
  <c r="K100" i="10"/>
  <c r="L51" i="10" s="1"/>
  <c r="K99" i="10"/>
  <c r="K98" i="10"/>
  <c r="K97" i="10"/>
  <c r="L113" i="10" s="1"/>
  <c r="K96" i="10"/>
  <c r="M95" i="10"/>
  <c r="K95" i="10"/>
  <c r="K94" i="10"/>
  <c r="L48" i="10" s="1"/>
  <c r="K93" i="10"/>
  <c r="L92" i="10"/>
  <c r="M47" i="10" s="1"/>
  <c r="K92" i="10"/>
  <c r="K91" i="10"/>
  <c r="K90" i="10"/>
  <c r="L46" i="10" s="1"/>
  <c r="K89" i="10"/>
  <c r="K88" i="10"/>
  <c r="L45" i="10" s="1"/>
  <c r="M87" i="10" s="1"/>
  <c r="N108" i="10" s="1"/>
  <c r="K87" i="10"/>
  <c r="L108" i="10" s="1"/>
  <c r="K86" i="10"/>
  <c r="K85" i="10"/>
  <c r="L107" i="10" s="1"/>
  <c r="K84" i="10"/>
  <c r="K83" i="10"/>
  <c r="L106" i="10" s="1"/>
  <c r="K82" i="10"/>
  <c r="K81" i="10"/>
  <c r="K80" i="10"/>
  <c r="K79" i="10"/>
  <c r="K78" i="10"/>
  <c r="K77" i="10"/>
  <c r="L103" i="10" s="1"/>
  <c r="M116" i="10" s="1"/>
  <c r="K76" i="10"/>
  <c r="K75" i="10"/>
  <c r="L102" i="10" s="1"/>
  <c r="K74" i="10"/>
  <c r="K73" i="10"/>
  <c r="K72" i="10"/>
  <c r="L37" i="10" s="1"/>
  <c r="K71" i="10"/>
  <c r="K70" i="10"/>
  <c r="L36" i="10" s="1"/>
  <c r="M19" i="10" s="1"/>
  <c r="K69" i="10"/>
  <c r="L99" i="10" s="1"/>
  <c r="K68" i="10"/>
  <c r="K67" i="10"/>
  <c r="L98" i="10" s="1"/>
  <c r="M50" i="10" s="1"/>
  <c r="K66" i="10"/>
  <c r="M65" i="10"/>
  <c r="L65" i="10"/>
  <c r="M97" i="10" s="1"/>
  <c r="K65" i="10"/>
  <c r="L64" i="10"/>
  <c r="K64" i="10"/>
  <c r="L33" i="10" s="1"/>
  <c r="M81" i="10" s="1"/>
  <c r="M63" i="10"/>
  <c r="L63" i="10"/>
  <c r="K63" i="10"/>
  <c r="L96" i="10" s="1"/>
  <c r="M62" i="10"/>
  <c r="K62" i="10"/>
  <c r="L61" i="10"/>
  <c r="K61" i="10"/>
  <c r="L60" i="10"/>
  <c r="K60" i="10"/>
  <c r="L59" i="10"/>
  <c r="M94" i="10" s="1"/>
  <c r="N48" i="10" s="1"/>
  <c r="K59" i="10"/>
  <c r="L58" i="10"/>
  <c r="K58" i="10"/>
  <c r="L30" i="10" s="1"/>
  <c r="L57" i="10"/>
  <c r="K57" i="10"/>
  <c r="L93" i="10" s="1"/>
  <c r="L56" i="10"/>
  <c r="K56" i="10"/>
  <c r="K55" i="10"/>
  <c r="K54" i="10"/>
  <c r="L28" i="10" s="1"/>
  <c r="L53" i="10"/>
  <c r="M91" i="10" s="1"/>
  <c r="K53" i="10"/>
  <c r="K52" i="10"/>
  <c r="L27" i="10" s="1"/>
  <c r="M78" i="10" s="1"/>
  <c r="K51" i="10"/>
  <c r="L90" i="10" s="1"/>
  <c r="K50" i="10"/>
  <c r="K49" i="10"/>
  <c r="L89" i="10" s="1"/>
  <c r="K48" i="10"/>
  <c r="L25" i="10" s="1"/>
  <c r="L47" i="10"/>
  <c r="M88" i="10" s="1"/>
  <c r="K47" i="10"/>
  <c r="K46" i="10"/>
  <c r="L24" i="10" s="1"/>
  <c r="M13" i="10" s="1"/>
  <c r="K45" i="10"/>
  <c r="L87" i="10" s="1"/>
  <c r="L44" i="10"/>
  <c r="K44" i="10"/>
  <c r="L43" i="10"/>
  <c r="M86" i="10" s="1"/>
  <c r="K43" i="10"/>
  <c r="L42" i="10"/>
  <c r="K42" i="10"/>
  <c r="K41" i="10"/>
  <c r="K40" i="10"/>
  <c r="L21" i="10" s="1"/>
  <c r="M75" i="10" s="1"/>
  <c r="N102" i="10" s="1"/>
  <c r="L39" i="10"/>
  <c r="M84" i="10" s="1"/>
  <c r="K39" i="10"/>
  <c r="L84" i="10" s="1"/>
  <c r="L38" i="10"/>
  <c r="M20" i="10" s="1"/>
  <c r="K38" i="10"/>
  <c r="K37" i="10"/>
  <c r="L19" i="10" s="1"/>
  <c r="M74" i="10" s="1"/>
  <c r="K36" i="10"/>
  <c r="L35" i="10"/>
  <c r="M82" i="10" s="1"/>
  <c r="K35" i="10"/>
  <c r="L34" i="10"/>
  <c r="K34" i="10"/>
  <c r="L18" i="10" s="1"/>
  <c r="M33" i="10"/>
  <c r="K33" i="10"/>
  <c r="L81" i="10" s="1"/>
  <c r="L32" i="10"/>
  <c r="K32" i="10"/>
  <c r="M31" i="10"/>
  <c r="K31" i="10"/>
  <c r="M30" i="10"/>
  <c r="K30" i="10"/>
  <c r="L29" i="10"/>
  <c r="K29" i="10"/>
  <c r="K28" i="10"/>
  <c r="L15" i="10" s="1"/>
  <c r="M27" i="10"/>
  <c r="K27" i="10"/>
  <c r="L78" i="10" s="1"/>
  <c r="L26" i="10"/>
  <c r="K26" i="10"/>
  <c r="K25" i="10"/>
  <c r="L77" i="10" s="1"/>
  <c r="M24" i="10"/>
  <c r="K24" i="10"/>
  <c r="L13" i="10" s="1"/>
  <c r="M71" i="10" s="1"/>
  <c r="L23" i="10"/>
  <c r="K23" i="10"/>
  <c r="M22" i="10"/>
  <c r="K22" i="10"/>
  <c r="L12" i="10" s="1"/>
  <c r="K21" i="10"/>
  <c r="L75" i="10" s="1"/>
  <c r="L20" i="10"/>
  <c r="K20" i="10"/>
  <c r="K19" i="10"/>
  <c r="L74" i="10" s="1"/>
  <c r="M38" i="10" s="1"/>
  <c r="K18" i="10"/>
  <c r="L17" i="10"/>
  <c r="K17" i="10"/>
  <c r="N16" i="10"/>
  <c r="K16" i="10"/>
  <c r="L9" i="10" s="1"/>
  <c r="M69" i="10" s="1"/>
  <c r="K15" i="10"/>
  <c r="L72" i="10" s="1"/>
  <c r="L14" i="10"/>
  <c r="M8" i="10" s="1"/>
  <c r="K14" i="10"/>
  <c r="K13" i="10"/>
  <c r="L71" i="10" s="1"/>
  <c r="K12" i="10"/>
  <c r="L7" i="10" s="1"/>
  <c r="L11" i="10"/>
  <c r="K11" i="10"/>
  <c r="K10" i="10"/>
  <c r="L6" i="10" s="1"/>
  <c r="M4" i="10" s="1"/>
  <c r="K9" i="10"/>
  <c r="L69" i="10" s="1"/>
  <c r="L8" i="10"/>
  <c r="K8" i="10"/>
  <c r="K7" i="10"/>
  <c r="L68" i="10" s="1"/>
  <c r="M35" i="10" s="1"/>
  <c r="K6" i="10"/>
  <c r="L4" i="10" s="1"/>
  <c r="M3" i="10" s="1"/>
  <c r="N66" i="10" s="1"/>
  <c r="L5" i="10"/>
  <c r="K5" i="10"/>
  <c r="K4" i="10"/>
  <c r="L3" i="10" s="1"/>
  <c r="K3" i="10"/>
  <c r="L66" i="10" s="1"/>
  <c r="L2" i="10"/>
  <c r="M2" i="10" s="1"/>
  <c r="K2" i="10"/>
  <c r="K129" i="9"/>
  <c r="L129" i="9" s="1"/>
  <c r="K128" i="9"/>
  <c r="L127" i="9"/>
  <c r="M128" i="9" s="1"/>
  <c r="K127" i="9"/>
  <c r="K126" i="9"/>
  <c r="K125" i="9"/>
  <c r="L124" i="9"/>
  <c r="M63" i="9" s="1"/>
  <c r="K124" i="9"/>
  <c r="K123" i="9"/>
  <c r="L126" i="9" s="1"/>
  <c r="K122" i="9"/>
  <c r="L121" i="9"/>
  <c r="K121" i="9"/>
  <c r="K120" i="9"/>
  <c r="L125" i="9" s="1"/>
  <c r="K119" i="9"/>
  <c r="L118" i="9"/>
  <c r="K118" i="9"/>
  <c r="K117" i="9"/>
  <c r="K116" i="9"/>
  <c r="L115" i="9"/>
  <c r="K115" i="9"/>
  <c r="L122" i="9" s="1"/>
  <c r="K114" i="9"/>
  <c r="K113" i="9"/>
  <c r="L112" i="9"/>
  <c r="K112" i="9"/>
  <c r="K111" i="9"/>
  <c r="L120" i="9" s="1"/>
  <c r="M125" i="9" s="1"/>
  <c r="K110" i="9"/>
  <c r="L109" i="9"/>
  <c r="K109" i="9"/>
  <c r="K108" i="9"/>
  <c r="L55" i="9" s="1"/>
  <c r="M92" i="9" s="1"/>
  <c r="K107" i="9"/>
  <c r="K106" i="9"/>
  <c r="K105" i="9"/>
  <c r="L117" i="9" s="1"/>
  <c r="K104" i="9"/>
  <c r="K103" i="9"/>
  <c r="K102" i="9"/>
  <c r="K101" i="9"/>
  <c r="K100" i="9"/>
  <c r="K99" i="9"/>
  <c r="K98" i="9"/>
  <c r="K97" i="9"/>
  <c r="L113" i="9" s="1"/>
  <c r="M121" i="9" s="1"/>
  <c r="K96" i="9"/>
  <c r="K95" i="9"/>
  <c r="K94" i="9"/>
  <c r="K93" i="9"/>
  <c r="L111" i="9" s="1"/>
  <c r="K92" i="9"/>
  <c r="K91" i="9"/>
  <c r="L110" i="9" s="1"/>
  <c r="M56" i="9" s="1"/>
  <c r="N29" i="9" s="1"/>
  <c r="K90" i="9"/>
  <c r="L46" i="9" s="1"/>
  <c r="M24" i="9" s="1"/>
  <c r="M89" i="9"/>
  <c r="N109" i="9" s="1"/>
  <c r="K89" i="9"/>
  <c r="M88" i="9"/>
  <c r="K88" i="9"/>
  <c r="L87" i="9"/>
  <c r="K87" i="9"/>
  <c r="K86" i="9"/>
  <c r="L44" i="9" s="1"/>
  <c r="K85" i="9"/>
  <c r="L107" i="9" s="1"/>
  <c r="K84" i="9"/>
  <c r="K83" i="9"/>
  <c r="L106" i="9" s="1"/>
  <c r="M54" i="9" s="1"/>
  <c r="K82" i="9"/>
  <c r="K81" i="9"/>
  <c r="K80" i="9"/>
  <c r="L41" i="9" s="1"/>
  <c r="M21" i="9" s="1"/>
  <c r="M79" i="9"/>
  <c r="K79" i="9"/>
  <c r="L104" i="9" s="1"/>
  <c r="K78" i="9"/>
  <c r="N77" i="9"/>
  <c r="K77" i="9"/>
  <c r="L103" i="9" s="1"/>
  <c r="M76" i="9"/>
  <c r="K76" i="9"/>
  <c r="K75" i="9"/>
  <c r="K74" i="9"/>
  <c r="L38" i="9" s="1"/>
  <c r="M20" i="9" s="1"/>
  <c r="N11" i="9" s="1"/>
  <c r="K73" i="9"/>
  <c r="L101" i="9" s="1"/>
  <c r="L72" i="9"/>
  <c r="K72" i="9"/>
  <c r="K71" i="9"/>
  <c r="L100" i="9" s="1"/>
  <c r="M51" i="9" s="1"/>
  <c r="K70" i="9"/>
  <c r="K69" i="9"/>
  <c r="K68" i="9"/>
  <c r="L35" i="9" s="1"/>
  <c r="M18" i="9" s="1"/>
  <c r="K67" i="9"/>
  <c r="L98" i="9" s="1"/>
  <c r="K66" i="9"/>
  <c r="L65" i="9"/>
  <c r="K65" i="9"/>
  <c r="M64" i="9"/>
  <c r="K64" i="9"/>
  <c r="L63" i="9"/>
  <c r="K63" i="9"/>
  <c r="L62" i="9"/>
  <c r="K62" i="9"/>
  <c r="L32" i="9" s="1"/>
  <c r="M61" i="9"/>
  <c r="L61" i="9"/>
  <c r="K61" i="9"/>
  <c r="L95" i="9" s="1"/>
  <c r="L60" i="9"/>
  <c r="K60" i="9"/>
  <c r="K59" i="9"/>
  <c r="L94" i="9" s="1"/>
  <c r="M48" i="9" s="1"/>
  <c r="L58" i="9"/>
  <c r="K58" i="9"/>
  <c r="M57" i="9"/>
  <c r="L57" i="9"/>
  <c r="K57" i="9"/>
  <c r="L56" i="9"/>
  <c r="K56" i="9"/>
  <c r="L29" i="9" s="1"/>
  <c r="M15" i="9" s="1"/>
  <c r="K55" i="9"/>
  <c r="L92" i="9" s="1"/>
  <c r="L54" i="9"/>
  <c r="K54" i="9"/>
  <c r="L53" i="9"/>
  <c r="M91" i="9" s="1"/>
  <c r="K53" i="9"/>
  <c r="L91" i="9" s="1"/>
  <c r="L52" i="9"/>
  <c r="K52" i="9"/>
  <c r="L51" i="9"/>
  <c r="K51" i="9"/>
  <c r="K50" i="9"/>
  <c r="L26" i="9" s="1"/>
  <c r="M14" i="9" s="1"/>
  <c r="N8" i="9" s="1"/>
  <c r="L49" i="9"/>
  <c r="K49" i="9"/>
  <c r="L89" i="9" s="1"/>
  <c r="L48" i="9"/>
  <c r="K48" i="9"/>
  <c r="L47" i="9"/>
  <c r="K47" i="9"/>
  <c r="L88" i="9" s="1"/>
  <c r="M45" i="9" s="1"/>
  <c r="K46" i="9"/>
  <c r="L45" i="9"/>
  <c r="M87" i="9" s="1"/>
  <c r="K45" i="9"/>
  <c r="K44" i="9"/>
  <c r="L23" i="9" s="1"/>
  <c r="M12" i="9" s="1"/>
  <c r="L43" i="9"/>
  <c r="K43" i="9"/>
  <c r="L86" i="9" s="1"/>
  <c r="M44" i="9" s="1"/>
  <c r="L42" i="9"/>
  <c r="K42" i="9"/>
  <c r="K41" i="9"/>
  <c r="L40" i="9"/>
  <c r="K40" i="9"/>
  <c r="L39" i="9"/>
  <c r="K39" i="9"/>
  <c r="K38" i="9"/>
  <c r="L37" i="9"/>
  <c r="K37" i="9"/>
  <c r="L83" i="9" s="1"/>
  <c r="M106" i="9" s="1"/>
  <c r="K36" i="9"/>
  <c r="K35" i="9"/>
  <c r="L82" i="9" s="1"/>
  <c r="L34" i="9"/>
  <c r="K34" i="9"/>
  <c r="K33" i="9"/>
  <c r="K32" i="9"/>
  <c r="L31" i="9"/>
  <c r="M80" i="9" s="1"/>
  <c r="K31" i="9"/>
  <c r="L80" i="9" s="1"/>
  <c r="L30" i="9"/>
  <c r="K30" i="9"/>
  <c r="K29" i="9"/>
  <c r="L28" i="9"/>
  <c r="K28" i="9"/>
  <c r="M27" i="9"/>
  <c r="L27" i="9"/>
  <c r="K27" i="9"/>
  <c r="K26" i="9"/>
  <c r="L14" i="9" s="1"/>
  <c r="M25" i="9"/>
  <c r="L25" i="9"/>
  <c r="K25" i="9"/>
  <c r="L77" i="9" s="1"/>
  <c r="M103" i="9" s="1"/>
  <c r="L24" i="9"/>
  <c r="M13" i="9" s="1"/>
  <c r="N71" i="9" s="1"/>
  <c r="K24" i="9"/>
  <c r="N23" i="9"/>
  <c r="K23" i="9"/>
  <c r="L76" i="9" s="1"/>
  <c r="M22" i="9"/>
  <c r="L22" i="9"/>
  <c r="K22" i="9"/>
  <c r="K21" i="9"/>
  <c r="K20" i="9"/>
  <c r="L19" i="9"/>
  <c r="M74" i="9" s="1"/>
  <c r="K19" i="9"/>
  <c r="L74" i="9" s="1"/>
  <c r="L18" i="9"/>
  <c r="K18" i="9"/>
  <c r="K17" i="9"/>
  <c r="M16" i="9"/>
  <c r="L16" i="9"/>
  <c r="K16" i="9"/>
  <c r="K15" i="9"/>
  <c r="K14" i="9"/>
  <c r="L8" i="9" s="1"/>
  <c r="L13" i="9"/>
  <c r="K13" i="9"/>
  <c r="L7" i="9" s="1"/>
  <c r="M68" i="9" s="1"/>
  <c r="L12" i="9"/>
  <c r="M7" i="9" s="1"/>
  <c r="K12" i="9"/>
  <c r="K11" i="9"/>
  <c r="L70" i="9" s="1"/>
  <c r="M10" i="9"/>
  <c r="L10" i="9"/>
  <c r="K10" i="9"/>
  <c r="K9" i="9"/>
  <c r="K8" i="9"/>
  <c r="L5" i="9" s="1"/>
  <c r="K7" i="9"/>
  <c r="L4" i="9" s="1"/>
  <c r="M3" i="9" s="1"/>
  <c r="L6" i="9"/>
  <c r="K6" i="9"/>
  <c r="K5" i="9"/>
  <c r="K4" i="9"/>
  <c r="L3" i="9" s="1"/>
  <c r="K3" i="9"/>
  <c r="K2" i="9"/>
  <c r="L66" i="9" s="1"/>
  <c r="K129" i="8"/>
  <c r="L129" i="8" s="1"/>
  <c r="K128" i="8"/>
  <c r="K127" i="8"/>
  <c r="K126" i="8"/>
  <c r="K125" i="8"/>
  <c r="L127" i="8" s="1"/>
  <c r="L124" i="8"/>
  <c r="K124" i="8"/>
  <c r="L123" i="8"/>
  <c r="K123" i="8"/>
  <c r="L126" i="8" s="1"/>
  <c r="K122" i="8"/>
  <c r="L62" i="8" s="1"/>
  <c r="M32" i="8" s="1"/>
  <c r="K121" i="8"/>
  <c r="L125" i="8" s="1"/>
  <c r="M127" i="8" s="1"/>
  <c r="K120" i="8"/>
  <c r="K119" i="8"/>
  <c r="M118" i="8"/>
  <c r="K118" i="8"/>
  <c r="K117" i="8"/>
  <c r="K116" i="8"/>
  <c r="L115" i="8"/>
  <c r="M122" i="8" s="1"/>
  <c r="K115" i="8"/>
  <c r="L114" i="8"/>
  <c r="K114" i="8"/>
  <c r="K113" i="8"/>
  <c r="K112" i="8"/>
  <c r="K111" i="8"/>
  <c r="L120" i="8" s="1"/>
  <c r="K110" i="8"/>
  <c r="K109" i="8"/>
  <c r="K108" i="8"/>
  <c r="K107" i="8"/>
  <c r="L118" i="8" s="1"/>
  <c r="L106" i="8"/>
  <c r="K106" i="8"/>
  <c r="L105" i="8"/>
  <c r="K105" i="8"/>
  <c r="L117" i="8" s="1"/>
  <c r="K104" i="8"/>
  <c r="L53" i="8" s="1"/>
  <c r="K103" i="8"/>
  <c r="K102" i="8"/>
  <c r="L52" i="8" s="1"/>
  <c r="M91" i="8" s="1"/>
  <c r="K101" i="8"/>
  <c r="K100" i="8"/>
  <c r="K99" i="8"/>
  <c r="K98" i="8"/>
  <c r="L97" i="8"/>
  <c r="M113" i="8" s="1"/>
  <c r="K97" i="8"/>
  <c r="L96" i="8"/>
  <c r="K96" i="8"/>
  <c r="K95" i="8"/>
  <c r="K94" i="8"/>
  <c r="K93" i="8"/>
  <c r="L111" i="8" s="1"/>
  <c r="K92" i="8"/>
  <c r="K91" i="8"/>
  <c r="K90" i="8"/>
  <c r="K89" i="8"/>
  <c r="L109" i="8" s="1"/>
  <c r="L88" i="8"/>
  <c r="K88" i="8"/>
  <c r="L87" i="8"/>
  <c r="K87" i="8"/>
  <c r="K86" i="8"/>
  <c r="L44" i="8" s="1"/>
  <c r="M23" i="8" s="1"/>
  <c r="K85" i="8"/>
  <c r="L107" i="8" s="1"/>
  <c r="K84" i="8"/>
  <c r="K83" i="8"/>
  <c r="K82" i="8"/>
  <c r="K81" i="8"/>
  <c r="K80" i="8"/>
  <c r="L79" i="8"/>
  <c r="M104" i="8" s="1"/>
  <c r="K79" i="8"/>
  <c r="L78" i="8"/>
  <c r="K78" i="8"/>
  <c r="K77" i="8"/>
  <c r="K76" i="8"/>
  <c r="K75" i="8"/>
  <c r="L102" i="8" s="1"/>
  <c r="K74" i="8"/>
  <c r="K73" i="8"/>
  <c r="K72" i="8"/>
  <c r="K71" i="8"/>
  <c r="L100" i="8" s="1"/>
  <c r="K70" i="8"/>
  <c r="L69" i="8"/>
  <c r="K69" i="8"/>
  <c r="L99" i="8" s="1"/>
  <c r="K68" i="8"/>
  <c r="K67" i="8"/>
  <c r="L98" i="8" s="1"/>
  <c r="M50" i="8" s="1"/>
  <c r="K66" i="8"/>
  <c r="L34" i="8" s="1"/>
  <c r="K65" i="8"/>
  <c r="M64" i="8"/>
  <c r="L64" i="8"/>
  <c r="K64" i="8"/>
  <c r="L63" i="8"/>
  <c r="K63" i="8"/>
  <c r="K62" i="8"/>
  <c r="L61" i="8"/>
  <c r="M95" i="8" s="1"/>
  <c r="K61" i="8"/>
  <c r="L60" i="8"/>
  <c r="K60" i="8"/>
  <c r="K59" i="8"/>
  <c r="L58" i="8"/>
  <c r="K58" i="8"/>
  <c r="K57" i="8"/>
  <c r="L93" i="8" s="1"/>
  <c r="K56" i="8"/>
  <c r="L55" i="8"/>
  <c r="M92" i="8" s="1"/>
  <c r="K55" i="8"/>
  <c r="L54" i="8"/>
  <c r="K54" i="8"/>
  <c r="K53" i="8"/>
  <c r="L91" i="8" s="1"/>
  <c r="K52" i="8"/>
  <c r="L51" i="8"/>
  <c r="K51" i="8"/>
  <c r="L90" i="8" s="1"/>
  <c r="M46" i="8" s="1"/>
  <c r="K50" i="8"/>
  <c r="L49" i="8"/>
  <c r="K49" i="8"/>
  <c r="K48" i="8"/>
  <c r="L25" i="8" s="1"/>
  <c r="K47" i="8"/>
  <c r="L46" i="8"/>
  <c r="K46" i="8"/>
  <c r="L45" i="8"/>
  <c r="K45" i="8"/>
  <c r="K44" i="8"/>
  <c r="L43" i="8"/>
  <c r="K43" i="8"/>
  <c r="L42" i="8"/>
  <c r="K42" i="8"/>
  <c r="K41" i="8"/>
  <c r="L40" i="8"/>
  <c r="K40" i="8"/>
  <c r="L21" i="8" s="1"/>
  <c r="M75" i="8" s="1"/>
  <c r="K39" i="8"/>
  <c r="L38" i="8"/>
  <c r="K38" i="8"/>
  <c r="L84" i="8" s="1"/>
  <c r="L37" i="8"/>
  <c r="M83" i="8" s="1"/>
  <c r="K37" i="8"/>
  <c r="L36" i="8"/>
  <c r="K36" i="8"/>
  <c r="L35" i="8"/>
  <c r="K35" i="8"/>
  <c r="K34" i="8"/>
  <c r="L18" i="8" s="1"/>
  <c r="L33" i="8"/>
  <c r="K33" i="8"/>
  <c r="L81" i="8" s="1"/>
  <c r="L32" i="8"/>
  <c r="M17" i="8" s="1"/>
  <c r="K32" i="8"/>
  <c r="L31" i="8"/>
  <c r="K31" i="8"/>
  <c r="K30" i="8"/>
  <c r="L29" i="8"/>
  <c r="M79" i="8" s="1"/>
  <c r="K29" i="8"/>
  <c r="M28" i="8"/>
  <c r="L28" i="8"/>
  <c r="K28" i="8"/>
  <c r="L15" i="8" s="1"/>
  <c r="M27" i="8"/>
  <c r="L27" i="8"/>
  <c r="K27" i="8"/>
  <c r="L26" i="8"/>
  <c r="M14" i="8" s="1"/>
  <c r="K26" i="8"/>
  <c r="K25" i="8"/>
  <c r="L24" i="8"/>
  <c r="K24" i="8"/>
  <c r="L23" i="8"/>
  <c r="M76" i="8" s="1"/>
  <c r="K23" i="8"/>
  <c r="L22" i="8"/>
  <c r="K22" i="8"/>
  <c r="L12" i="8" s="1"/>
  <c r="K21" i="8"/>
  <c r="L75" i="8" s="1"/>
  <c r="L20" i="8"/>
  <c r="K20" i="8"/>
  <c r="M19" i="8"/>
  <c r="K19" i="8"/>
  <c r="K18" i="8"/>
  <c r="L17" i="8"/>
  <c r="K17" i="8"/>
  <c r="K16" i="8"/>
  <c r="L9" i="8" s="1"/>
  <c r="M69" i="8" s="1"/>
  <c r="M15" i="8"/>
  <c r="N72" i="8" s="1"/>
  <c r="K15" i="8"/>
  <c r="L72" i="8" s="1"/>
  <c r="L14" i="8"/>
  <c r="M8" i="8" s="1"/>
  <c r="K14" i="8"/>
  <c r="K13" i="8"/>
  <c r="M12" i="8"/>
  <c r="K12" i="8"/>
  <c r="L11" i="8"/>
  <c r="K11" i="8"/>
  <c r="K10" i="8"/>
  <c r="L6" i="8" s="1"/>
  <c r="K9" i="8"/>
  <c r="L8" i="8"/>
  <c r="K8" i="8"/>
  <c r="K7" i="8"/>
  <c r="K6" i="8"/>
  <c r="L5" i="8"/>
  <c r="K5" i="8"/>
  <c r="K4" i="8"/>
  <c r="L3" i="8" s="1"/>
  <c r="K3" i="8"/>
  <c r="L66" i="8" s="1"/>
  <c r="L2" i="8"/>
  <c r="M2" i="8" s="1"/>
  <c r="K2" i="8"/>
  <c r="K129" i="7"/>
  <c r="L129" i="7" s="1"/>
  <c r="K128" i="7"/>
  <c r="L127" i="7"/>
  <c r="M128" i="7" s="1"/>
  <c r="K127" i="7"/>
  <c r="K126" i="7"/>
  <c r="L64" i="7" s="1"/>
  <c r="M125" i="7"/>
  <c r="K125" i="7"/>
  <c r="L124" i="7"/>
  <c r="K124" i="7"/>
  <c r="K123" i="7"/>
  <c r="L126" i="7" s="1"/>
  <c r="K122" i="7"/>
  <c r="L121" i="7"/>
  <c r="K121" i="7"/>
  <c r="K120" i="7"/>
  <c r="K119" i="7"/>
  <c r="L118" i="7"/>
  <c r="K118" i="7"/>
  <c r="K117" i="7"/>
  <c r="K116" i="7"/>
  <c r="L115" i="7"/>
  <c r="K115" i="7"/>
  <c r="K114" i="7"/>
  <c r="M113" i="7"/>
  <c r="N121" i="7" s="1"/>
  <c r="K113" i="7"/>
  <c r="K112" i="7"/>
  <c r="K111" i="7"/>
  <c r="L120" i="7" s="1"/>
  <c r="K110" i="7"/>
  <c r="K109" i="7"/>
  <c r="K108" i="7"/>
  <c r="K107" i="7"/>
  <c r="K106" i="7"/>
  <c r="K105" i="7"/>
  <c r="L117" i="7" s="1"/>
  <c r="K104" i="7"/>
  <c r="K103" i="7"/>
  <c r="K102" i="7"/>
  <c r="L52" i="7" s="1"/>
  <c r="K101" i="7"/>
  <c r="K100" i="7"/>
  <c r="K99" i="7"/>
  <c r="K98" i="7"/>
  <c r="K97" i="7"/>
  <c r="K96" i="7"/>
  <c r="L49" i="7" s="1"/>
  <c r="M95" i="7"/>
  <c r="K95" i="7"/>
  <c r="L112" i="7" s="1"/>
  <c r="K94" i="7"/>
  <c r="K93" i="7"/>
  <c r="L111" i="7" s="1"/>
  <c r="M92" i="7"/>
  <c r="K92" i="7"/>
  <c r="L47" i="7" s="1"/>
  <c r="M88" i="7" s="1"/>
  <c r="K91" i="7"/>
  <c r="K90" i="7"/>
  <c r="L46" i="7" s="1"/>
  <c r="K89" i="7"/>
  <c r="L109" i="7" s="1"/>
  <c r="M119" i="7" s="1"/>
  <c r="K88" i="7"/>
  <c r="K87" i="7"/>
  <c r="L108" i="7" s="1"/>
  <c r="K86" i="7"/>
  <c r="L44" i="7" s="1"/>
  <c r="K85" i="7"/>
  <c r="K84" i="7"/>
  <c r="L43" i="7" s="1"/>
  <c r="K83" i="7"/>
  <c r="L106" i="7" s="1"/>
  <c r="K82" i="7"/>
  <c r="K81" i="7"/>
  <c r="L105" i="7" s="1"/>
  <c r="K80" i="7"/>
  <c r="L41" i="7" s="1"/>
  <c r="K79" i="7"/>
  <c r="K78" i="7"/>
  <c r="K77" i="7"/>
  <c r="L103" i="7" s="1"/>
  <c r="M116" i="7" s="1"/>
  <c r="K76" i="7"/>
  <c r="K75" i="7"/>
  <c r="L102" i="7" s="1"/>
  <c r="K74" i="7"/>
  <c r="L38" i="7" s="1"/>
  <c r="K73" i="7"/>
  <c r="L101" i="7" s="1"/>
  <c r="M115" i="7" s="1"/>
  <c r="K72" i="7"/>
  <c r="L37" i="7" s="1"/>
  <c r="K71" i="7"/>
  <c r="L100" i="7" s="1"/>
  <c r="K70" i="7"/>
  <c r="K69" i="7"/>
  <c r="L99" i="7" s="1"/>
  <c r="K68" i="7"/>
  <c r="L35" i="7" s="1"/>
  <c r="K67" i="7"/>
  <c r="L98" i="7" s="1"/>
  <c r="M50" i="7" s="1"/>
  <c r="K66" i="7"/>
  <c r="L34" i="7" s="1"/>
  <c r="L65" i="7"/>
  <c r="K65" i="7"/>
  <c r="L97" i="7" s="1"/>
  <c r="M64" i="7"/>
  <c r="K64" i="7"/>
  <c r="L63" i="7"/>
  <c r="M96" i="7" s="1"/>
  <c r="K63" i="7"/>
  <c r="L96" i="7" s="1"/>
  <c r="L62" i="7"/>
  <c r="K62" i="7"/>
  <c r="L32" i="7" s="1"/>
  <c r="M61" i="7"/>
  <c r="L61" i="7"/>
  <c r="K61" i="7"/>
  <c r="L95" i="7" s="1"/>
  <c r="M112" i="7" s="1"/>
  <c r="L60" i="7"/>
  <c r="K60" i="7"/>
  <c r="L31" i="7" s="1"/>
  <c r="K59" i="7"/>
  <c r="L94" i="7" s="1"/>
  <c r="L58" i="7"/>
  <c r="K58" i="7"/>
  <c r="L57" i="7"/>
  <c r="M93" i="7" s="1"/>
  <c r="N111" i="7" s="1"/>
  <c r="K57" i="7"/>
  <c r="L93" i="7" s="1"/>
  <c r="L56" i="7"/>
  <c r="K56" i="7"/>
  <c r="L29" i="7" s="1"/>
  <c r="L55" i="7"/>
  <c r="K55" i="7"/>
  <c r="L54" i="7"/>
  <c r="K54" i="7"/>
  <c r="L28" i="7" s="1"/>
  <c r="M15" i="7" s="1"/>
  <c r="L53" i="7"/>
  <c r="K53" i="7"/>
  <c r="L91" i="7" s="1"/>
  <c r="K52" i="7"/>
  <c r="L51" i="7"/>
  <c r="K51" i="7"/>
  <c r="L90" i="7" s="1"/>
  <c r="M46" i="7" s="1"/>
  <c r="K50" i="7"/>
  <c r="L26" i="7" s="1"/>
  <c r="M49" i="7"/>
  <c r="K49" i="7"/>
  <c r="K48" i="7"/>
  <c r="L25" i="7" s="1"/>
  <c r="K47" i="7"/>
  <c r="K46" i="7"/>
  <c r="K45" i="7"/>
  <c r="K44" i="7"/>
  <c r="L23" i="7" s="1"/>
  <c r="K43" i="7"/>
  <c r="K42" i="7"/>
  <c r="K41" i="7"/>
  <c r="K40" i="7"/>
  <c r="K39" i="7"/>
  <c r="K38" i="7"/>
  <c r="L20" i="7" s="1"/>
  <c r="K37" i="7"/>
  <c r="K36" i="7"/>
  <c r="K35" i="7"/>
  <c r="L82" i="7" s="1"/>
  <c r="K34" i="7"/>
  <c r="L18" i="7" s="1"/>
  <c r="M10" i="7" s="1"/>
  <c r="K33" i="7"/>
  <c r="M32" i="7"/>
  <c r="K32" i="7"/>
  <c r="L17" i="7" s="1"/>
  <c r="M31" i="7"/>
  <c r="K31" i="7"/>
  <c r="K30" i="7"/>
  <c r="L16" i="7" s="1"/>
  <c r="M9" i="7" s="1"/>
  <c r="M29" i="7"/>
  <c r="N79" i="7" s="1"/>
  <c r="K29" i="7"/>
  <c r="L79" i="7" s="1"/>
  <c r="M28" i="7"/>
  <c r="K28" i="7"/>
  <c r="L15" i="7" s="1"/>
  <c r="K27" i="7"/>
  <c r="K26" i="7"/>
  <c r="L14" i="7" s="1"/>
  <c r="K25" i="7"/>
  <c r="L77" i="7" s="1"/>
  <c r="M103" i="7" s="1"/>
  <c r="K24" i="7"/>
  <c r="K23" i="7"/>
  <c r="L76" i="7" s="1"/>
  <c r="L22" i="7"/>
  <c r="K22" i="7"/>
  <c r="K21" i="7"/>
  <c r="K20" i="7"/>
  <c r="L11" i="7" s="1"/>
  <c r="L19" i="7"/>
  <c r="K19" i="7"/>
  <c r="L74" i="7" s="1"/>
  <c r="K18" i="7"/>
  <c r="K17" i="7"/>
  <c r="K16" i="7"/>
  <c r="L9" i="7" s="1"/>
  <c r="N15" i="7"/>
  <c r="K15" i="7"/>
  <c r="L72" i="7" s="1"/>
  <c r="K14" i="7"/>
  <c r="L13" i="7"/>
  <c r="K13" i="7"/>
  <c r="K12" i="7"/>
  <c r="K11" i="7"/>
  <c r="L10" i="7"/>
  <c r="M6" i="7" s="1"/>
  <c r="K10" i="7"/>
  <c r="L6" i="7" s="1"/>
  <c r="M4" i="7" s="1"/>
  <c r="K9" i="7"/>
  <c r="L69" i="7" s="1"/>
  <c r="K8" i="7"/>
  <c r="L7" i="7"/>
  <c r="K7" i="7"/>
  <c r="K6" i="7"/>
  <c r="L4" i="7" s="1"/>
  <c r="K5" i="7"/>
  <c r="K4" i="7"/>
  <c r="L3" i="7" s="1"/>
  <c r="K3" i="7"/>
  <c r="K2" i="7"/>
  <c r="L2" i="7" s="1"/>
  <c r="M2" i="7" s="1"/>
  <c r="K129" i="6"/>
  <c r="L65" i="6" s="1"/>
  <c r="M97" i="6" s="1"/>
  <c r="K128" i="6"/>
  <c r="L127" i="6"/>
  <c r="K127" i="6"/>
  <c r="L128" i="6" s="1"/>
  <c r="L126" i="6"/>
  <c r="K126" i="6"/>
  <c r="K125" i="6"/>
  <c r="L124" i="6"/>
  <c r="K124" i="6"/>
  <c r="L123" i="6"/>
  <c r="K123" i="6"/>
  <c r="L62" i="6" s="1"/>
  <c r="K122" i="6"/>
  <c r="L121" i="6"/>
  <c r="K121" i="6"/>
  <c r="L125" i="6" s="1"/>
  <c r="M127" i="6" s="1"/>
  <c r="K120" i="6"/>
  <c r="K119" i="6"/>
  <c r="L118" i="6"/>
  <c r="K118" i="6"/>
  <c r="L117" i="6"/>
  <c r="M123" i="6" s="1"/>
  <c r="K117" i="6"/>
  <c r="L59" i="6" s="1"/>
  <c r="K116" i="6"/>
  <c r="L115" i="6"/>
  <c r="K115" i="6"/>
  <c r="K114" i="6"/>
  <c r="K113" i="6"/>
  <c r="L112" i="6"/>
  <c r="K112" i="6"/>
  <c r="K111" i="6"/>
  <c r="L56" i="6" s="1"/>
  <c r="M29" i="6" s="1"/>
  <c r="K110" i="6"/>
  <c r="L109" i="6"/>
  <c r="M119" i="6" s="1"/>
  <c r="N124" i="6" s="1"/>
  <c r="K109" i="6"/>
  <c r="L119" i="6" s="1"/>
  <c r="M124" i="6" s="1"/>
  <c r="L108" i="6"/>
  <c r="M55" i="6" s="1"/>
  <c r="K108" i="6"/>
  <c r="K107" i="6"/>
  <c r="L106" i="6"/>
  <c r="K106" i="6"/>
  <c r="K105" i="6"/>
  <c r="L53" i="6" s="1"/>
  <c r="K104" i="6"/>
  <c r="L103" i="6"/>
  <c r="K103" i="6"/>
  <c r="L116" i="6" s="1"/>
  <c r="K102" i="6"/>
  <c r="K101" i="6"/>
  <c r="L100" i="6"/>
  <c r="K100" i="6"/>
  <c r="L99" i="6"/>
  <c r="M114" i="6" s="1"/>
  <c r="K99" i="6"/>
  <c r="L50" i="6" s="1"/>
  <c r="M26" i="6" s="1"/>
  <c r="N14" i="6" s="1"/>
  <c r="O8" i="6" s="1"/>
  <c r="K98" i="6"/>
  <c r="L97" i="6"/>
  <c r="K97" i="6"/>
  <c r="K96" i="6"/>
  <c r="M95" i="6"/>
  <c r="K95" i="6"/>
  <c r="L94" i="6"/>
  <c r="K94" i="6"/>
  <c r="K93" i="6"/>
  <c r="L47" i="6" s="1"/>
  <c r="M88" i="6" s="1"/>
  <c r="K92" i="6"/>
  <c r="L91" i="6"/>
  <c r="M110" i="6" s="1"/>
  <c r="K91" i="6"/>
  <c r="L90" i="6"/>
  <c r="M46" i="6" s="1"/>
  <c r="K90" i="6"/>
  <c r="K89" i="6"/>
  <c r="L88" i="6"/>
  <c r="K88" i="6"/>
  <c r="K87" i="6"/>
  <c r="L44" i="6" s="1"/>
  <c r="M86" i="6"/>
  <c r="K86" i="6"/>
  <c r="L85" i="6"/>
  <c r="K85" i="6"/>
  <c r="L107" i="6" s="1"/>
  <c r="M118" i="6" s="1"/>
  <c r="K84" i="6"/>
  <c r="K83" i="6"/>
  <c r="L82" i="6"/>
  <c r="K82" i="6"/>
  <c r="L81" i="6"/>
  <c r="K81" i="6"/>
  <c r="L41" i="6" s="1"/>
  <c r="K80" i="6"/>
  <c r="L79" i="6"/>
  <c r="K79" i="6"/>
  <c r="K78" i="6"/>
  <c r="M77" i="6"/>
  <c r="K77" i="6"/>
  <c r="L76" i="6"/>
  <c r="K76" i="6"/>
  <c r="K75" i="6"/>
  <c r="L38" i="6" s="1"/>
  <c r="M20" i="6" s="1"/>
  <c r="N11" i="6" s="1"/>
  <c r="K74" i="6"/>
  <c r="L73" i="6"/>
  <c r="M101" i="6" s="1"/>
  <c r="N115" i="6" s="1"/>
  <c r="K73" i="6"/>
  <c r="L72" i="6"/>
  <c r="M37" i="6" s="1"/>
  <c r="K72" i="6"/>
  <c r="K71" i="6"/>
  <c r="L70" i="6"/>
  <c r="K70" i="6"/>
  <c r="K69" i="6"/>
  <c r="L35" i="6" s="1"/>
  <c r="M68" i="6"/>
  <c r="K68" i="6"/>
  <c r="L67" i="6"/>
  <c r="M98" i="6" s="1"/>
  <c r="K67" i="6"/>
  <c r="L98" i="6" s="1"/>
  <c r="K66" i="6"/>
  <c r="K65" i="6"/>
  <c r="L64" i="6"/>
  <c r="K64" i="6"/>
  <c r="L63" i="6"/>
  <c r="M96" i="6" s="1"/>
  <c r="K63" i="6"/>
  <c r="L32" i="6" s="1"/>
  <c r="M17" i="6" s="1"/>
  <c r="K62" i="6"/>
  <c r="L61" i="6"/>
  <c r="K61" i="6"/>
  <c r="L60" i="6"/>
  <c r="K60" i="6"/>
  <c r="M59" i="6"/>
  <c r="K59" i="6"/>
  <c r="L58" i="6"/>
  <c r="M30" i="6" s="1"/>
  <c r="K58" i="6"/>
  <c r="L57" i="6"/>
  <c r="K57" i="6"/>
  <c r="L29" i="6" s="1"/>
  <c r="M79" i="6" s="1"/>
  <c r="K56" i="6"/>
  <c r="L55" i="6"/>
  <c r="M92" i="6" s="1"/>
  <c r="K55" i="6"/>
  <c r="L54" i="6"/>
  <c r="M28" i="6" s="1"/>
  <c r="N15" i="6" s="1"/>
  <c r="K54" i="6"/>
  <c r="K53" i="6"/>
  <c r="L52" i="6"/>
  <c r="M27" i="6" s="1"/>
  <c r="K52" i="6"/>
  <c r="L51" i="6"/>
  <c r="M90" i="6" s="1"/>
  <c r="K51" i="6"/>
  <c r="L26" i="6" s="1"/>
  <c r="K50" i="6"/>
  <c r="L49" i="6"/>
  <c r="M89" i="6" s="1"/>
  <c r="K49" i="6"/>
  <c r="L89" i="6" s="1"/>
  <c r="M109" i="6" s="1"/>
  <c r="L48" i="6"/>
  <c r="K48" i="6"/>
  <c r="K47" i="6"/>
  <c r="L46" i="6"/>
  <c r="K46" i="6"/>
  <c r="L45" i="6"/>
  <c r="M87" i="6" s="1"/>
  <c r="N108" i="6" s="1"/>
  <c r="K45" i="6"/>
  <c r="L23" i="6" s="1"/>
  <c r="K44" i="6"/>
  <c r="L43" i="6"/>
  <c r="K43" i="6"/>
  <c r="L42" i="6"/>
  <c r="K42" i="6"/>
  <c r="L22" i="6" s="1"/>
  <c r="M12" i="6" s="1"/>
  <c r="M41" i="6"/>
  <c r="K41" i="6"/>
  <c r="L40" i="6"/>
  <c r="M21" i="6" s="1"/>
  <c r="K40" i="6"/>
  <c r="L39" i="6"/>
  <c r="K39" i="6"/>
  <c r="L20" i="6" s="1"/>
  <c r="M11" i="6" s="1"/>
  <c r="N70" i="6" s="1"/>
  <c r="K38" i="6"/>
  <c r="L37" i="6"/>
  <c r="M83" i="6" s="1"/>
  <c r="K37" i="6"/>
  <c r="L36" i="6"/>
  <c r="M19" i="6" s="1"/>
  <c r="N74" i="6" s="1"/>
  <c r="K36" i="6"/>
  <c r="K35" i="6"/>
  <c r="L34" i="6"/>
  <c r="M18" i="6" s="1"/>
  <c r="K34" i="6"/>
  <c r="L33" i="6"/>
  <c r="M81" i="6" s="1"/>
  <c r="N105" i="6" s="1"/>
  <c r="K33" i="6"/>
  <c r="L17" i="6" s="1"/>
  <c r="K32" i="6"/>
  <c r="L31" i="6"/>
  <c r="M80" i="6" s="1"/>
  <c r="N41" i="6" s="1"/>
  <c r="K31" i="6"/>
  <c r="L80" i="6" s="1"/>
  <c r="L30" i="6"/>
  <c r="K30" i="6"/>
  <c r="K29" i="6"/>
  <c r="L28" i="6"/>
  <c r="K28" i="6"/>
  <c r="L27" i="6"/>
  <c r="M78" i="6" s="1"/>
  <c r="N40" i="6" s="1"/>
  <c r="O21" i="6" s="1"/>
  <c r="K27" i="6"/>
  <c r="L14" i="6" s="1"/>
  <c r="M8" i="6" s="1"/>
  <c r="N5" i="6" s="1"/>
  <c r="K26" i="6"/>
  <c r="L25" i="6"/>
  <c r="K25" i="6"/>
  <c r="L24" i="6"/>
  <c r="K24" i="6"/>
  <c r="L13" i="6" s="1"/>
  <c r="M71" i="6" s="1"/>
  <c r="N100" i="6" s="1"/>
  <c r="K23" i="6"/>
  <c r="K22" i="6"/>
  <c r="L21" i="6"/>
  <c r="K21" i="6"/>
  <c r="L11" i="6" s="1"/>
  <c r="M70" i="6" s="1"/>
  <c r="K20" i="6"/>
  <c r="L19" i="6"/>
  <c r="M74" i="6" s="1"/>
  <c r="K19" i="6"/>
  <c r="L18" i="6"/>
  <c r="M10" i="6" s="1"/>
  <c r="K18" i="6"/>
  <c r="K17" i="6"/>
  <c r="L16" i="6"/>
  <c r="M9" i="6" s="1"/>
  <c r="N69" i="6" s="1"/>
  <c r="K16" i="6"/>
  <c r="L15" i="6"/>
  <c r="K15" i="6"/>
  <c r="L8" i="6" s="1"/>
  <c r="M14" i="6"/>
  <c r="K14" i="6"/>
  <c r="K13" i="6"/>
  <c r="L71" i="6" s="1"/>
  <c r="M100" i="6" s="1"/>
  <c r="L12" i="6"/>
  <c r="K12" i="6"/>
  <c r="K11" i="6"/>
  <c r="L10" i="6"/>
  <c r="K10" i="6"/>
  <c r="L9" i="6"/>
  <c r="M69" i="6" s="1"/>
  <c r="N99" i="6" s="1"/>
  <c r="K9" i="6"/>
  <c r="L69" i="6" s="1"/>
  <c r="K8" i="6"/>
  <c r="L5" i="6" s="1"/>
  <c r="L7" i="6"/>
  <c r="K7" i="6"/>
  <c r="L6" i="6"/>
  <c r="K6" i="6"/>
  <c r="L4" i="6" s="1"/>
  <c r="M3" i="6" s="1"/>
  <c r="M5" i="6"/>
  <c r="K5" i="6"/>
  <c r="K4" i="6"/>
  <c r="L3" i="6"/>
  <c r="K3" i="6"/>
  <c r="L66" i="6" s="1"/>
  <c r="M34" i="6" s="1"/>
  <c r="K2" i="6"/>
  <c r="L2" i="6" s="1"/>
  <c r="M2" i="6" s="1"/>
  <c r="N2" i="6" s="1"/>
  <c r="K129" i="5"/>
  <c r="L128" i="5"/>
  <c r="M65" i="5" s="1"/>
  <c r="N97" i="5" s="1"/>
  <c r="K128" i="5"/>
  <c r="L129" i="5" s="1"/>
  <c r="K127" i="5"/>
  <c r="L126" i="5"/>
  <c r="M64" i="5" s="1"/>
  <c r="K126" i="5"/>
  <c r="L125" i="5"/>
  <c r="M127" i="5" s="1"/>
  <c r="K125" i="5"/>
  <c r="L127" i="5" s="1"/>
  <c r="M128" i="5" s="1"/>
  <c r="M124" i="5"/>
  <c r="K124" i="5"/>
  <c r="K123" i="5"/>
  <c r="L122" i="5"/>
  <c r="K122" i="5"/>
  <c r="K121" i="5"/>
  <c r="K120" i="5"/>
  <c r="L119" i="5"/>
  <c r="K119" i="5"/>
  <c r="L124" i="5" s="1"/>
  <c r="M63" i="5" s="1"/>
  <c r="K118" i="5"/>
  <c r="L117" i="5"/>
  <c r="M123" i="5" s="1"/>
  <c r="K117" i="5"/>
  <c r="L116" i="5"/>
  <c r="K116" i="5"/>
  <c r="L123" i="5" s="1"/>
  <c r="M126" i="5" s="1"/>
  <c r="N64" i="5" s="1"/>
  <c r="M115" i="5"/>
  <c r="N122" i="5" s="1"/>
  <c r="K115" i="5"/>
  <c r="K114" i="5"/>
  <c r="L113" i="5"/>
  <c r="K113" i="5"/>
  <c r="L121" i="5" s="1"/>
  <c r="K112" i="5"/>
  <c r="K111" i="5"/>
  <c r="L110" i="5"/>
  <c r="K110" i="5"/>
  <c r="L120" i="5" s="1"/>
  <c r="M61" i="5" s="1"/>
  <c r="K109" i="5"/>
  <c r="K108" i="5"/>
  <c r="L107" i="5"/>
  <c r="M118" i="5" s="1"/>
  <c r="K107" i="5"/>
  <c r="L118" i="5" s="1"/>
  <c r="K106" i="5"/>
  <c r="K105" i="5"/>
  <c r="L104" i="5"/>
  <c r="K104" i="5"/>
  <c r="K103" i="5"/>
  <c r="K102" i="5"/>
  <c r="L101" i="5"/>
  <c r="K101" i="5"/>
  <c r="L115" i="5" s="1"/>
  <c r="K100" i="5"/>
  <c r="K99" i="5"/>
  <c r="L98" i="5"/>
  <c r="K98" i="5"/>
  <c r="L114" i="5" s="1"/>
  <c r="M58" i="5" s="1"/>
  <c r="K97" i="5"/>
  <c r="L96" i="5"/>
  <c r="M49" i="5" s="1"/>
  <c r="N89" i="5" s="1"/>
  <c r="K96" i="5"/>
  <c r="L95" i="5"/>
  <c r="K95" i="5"/>
  <c r="L112" i="5" s="1"/>
  <c r="M57" i="5" s="1"/>
  <c r="K94" i="5"/>
  <c r="L93" i="5"/>
  <c r="K93" i="5"/>
  <c r="L92" i="5"/>
  <c r="M47" i="5" s="1"/>
  <c r="K92" i="5"/>
  <c r="L111" i="5" s="1"/>
  <c r="M120" i="5" s="1"/>
  <c r="K91" i="5"/>
  <c r="L90" i="5"/>
  <c r="M46" i="5" s="1"/>
  <c r="N24" i="5" s="1"/>
  <c r="K90" i="5"/>
  <c r="L89" i="5"/>
  <c r="M109" i="5" s="1"/>
  <c r="N119" i="5" s="1"/>
  <c r="K89" i="5"/>
  <c r="L109" i="5" s="1"/>
  <c r="K88" i="5"/>
  <c r="L87" i="5"/>
  <c r="M108" i="5" s="1"/>
  <c r="K87" i="5"/>
  <c r="L86" i="5"/>
  <c r="K86" i="5"/>
  <c r="L108" i="5" s="1"/>
  <c r="M55" i="5" s="1"/>
  <c r="N92" i="5" s="1"/>
  <c r="K85" i="5"/>
  <c r="L84" i="5"/>
  <c r="K84" i="5"/>
  <c r="L83" i="5"/>
  <c r="M106" i="5" s="1"/>
  <c r="K83" i="5"/>
  <c r="L106" i="5" s="1"/>
  <c r="M54" i="5" s="1"/>
  <c r="K82" i="5"/>
  <c r="L81" i="5"/>
  <c r="M105" i="5" s="1"/>
  <c r="K81" i="5"/>
  <c r="L80" i="5"/>
  <c r="K80" i="5"/>
  <c r="L105" i="5" s="1"/>
  <c r="M117" i="5" s="1"/>
  <c r="M79" i="5"/>
  <c r="K79" i="5"/>
  <c r="L78" i="5"/>
  <c r="M40" i="5" s="1"/>
  <c r="K78" i="5"/>
  <c r="L77" i="5"/>
  <c r="K77" i="5"/>
  <c r="L103" i="5" s="1"/>
  <c r="K76" i="5"/>
  <c r="K75" i="5"/>
  <c r="K74" i="5"/>
  <c r="L102" i="5" s="1"/>
  <c r="M52" i="5" s="1"/>
  <c r="K73" i="5"/>
  <c r="L72" i="5"/>
  <c r="K72" i="5"/>
  <c r="K71" i="5"/>
  <c r="L100" i="5" s="1"/>
  <c r="K70" i="5"/>
  <c r="L69" i="5"/>
  <c r="K69" i="5"/>
  <c r="K68" i="5"/>
  <c r="L99" i="5" s="1"/>
  <c r="M114" i="5" s="1"/>
  <c r="K67" i="5"/>
  <c r="K66" i="5"/>
  <c r="L65" i="5"/>
  <c r="M33" i="5" s="1"/>
  <c r="K65" i="5"/>
  <c r="L97" i="5" s="1"/>
  <c r="L64" i="5"/>
  <c r="K64" i="5"/>
  <c r="K63" i="5"/>
  <c r="L62" i="5"/>
  <c r="K62" i="5"/>
  <c r="L61" i="5"/>
  <c r="K61" i="5"/>
  <c r="L60" i="5"/>
  <c r="K60" i="5"/>
  <c r="L59" i="5"/>
  <c r="K59" i="5"/>
  <c r="L94" i="5" s="1"/>
  <c r="M48" i="5" s="1"/>
  <c r="L58" i="5"/>
  <c r="K58" i="5"/>
  <c r="K57" i="5"/>
  <c r="L56" i="5"/>
  <c r="K56" i="5"/>
  <c r="L55" i="5"/>
  <c r="K55" i="5"/>
  <c r="K54" i="5"/>
  <c r="L53" i="5"/>
  <c r="K53" i="5"/>
  <c r="L91" i="5" s="1"/>
  <c r="L52" i="5"/>
  <c r="K52" i="5"/>
  <c r="K51" i="5"/>
  <c r="L50" i="5"/>
  <c r="K50" i="5"/>
  <c r="L49" i="5"/>
  <c r="K49" i="5"/>
  <c r="K48" i="5"/>
  <c r="L47" i="5"/>
  <c r="M24" i="5" s="1"/>
  <c r="K47" i="5"/>
  <c r="L88" i="5" s="1"/>
  <c r="M45" i="5" s="1"/>
  <c r="L46" i="5"/>
  <c r="K46" i="5"/>
  <c r="K45" i="5"/>
  <c r="L44" i="5"/>
  <c r="K44" i="5"/>
  <c r="L43" i="5"/>
  <c r="K43" i="5"/>
  <c r="L42" i="5"/>
  <c r="M22" i="5" s="1"/>
  <c r="K42" i="5"/>
  <c r="L41" i="5"/>
  <c r="M85" i="5" s="1"/>
  <c r="K41" i="5"/>
  <c r="L85" i="5" s="1"/>
  <c r="M107" i="5" s="1"/>
  <c r="L40" i="5"/>
  <c r="K40" i="5"/>
  <c r="K39" i="5"/>
  <c r="L38" i="5"/>
  <c r="K38" i="5"/>
  <c r="L37" i="5"/>
  <c r="K37" i="5"/>
  <c r="K36" i="5"/>
  <c r="L35" i="5"/>
  <c r="M82" i="5" s="1"/>
  <c r="K35" i="5"/>
  <c r="L82" i="5" s="1"/>
  <c r="L34" i="5"/>
  <c r="K34" i="5"/>
  <c r="K33" i="5"/>
  <c r="L32" i="5"/>
  <c r="K32" i="5"/>
  <c r="M31" i="5"/>
  <c r="L31" i="5"/>
  <c r="K31" i="5"/>
  <c r="L30" i="5"/>
  <c r="M16" i="5" s="1"/>
  <c r="K30" i="5"/>
  <c r="L29" i="5"/>
  <c r="K29" i="5"/>
  <c r="L79" i="5" s="1"/>
  <c r="L28" i="5"/>
  <c r="K28" i="5"/>
  <c r="K27" i="5"/>
  <c r="L26" i="5"/>
  <c r="K26" i="5"/>
  <c r="L25" i="5"/>
  <c r="K25" i="5"/>
  <c r="L24" i="5"/>
  <c r="M13" i="5" s="1"/>
  <c r="K24" i="5"/>
  <c r="L23" i="5"/>
  <c r="K23" i="5"/>
  <c r="L22" i="5"/>
  <c r="M12" i="5" s="1"/>
  <c r="N7" i="5" s="1"/>
  <c r="O68" i="5" s="1"/>
  <c r="K22" i="5"/>
  <c r="L12" i="5" s="1"/>
  <c r="M21" i="5"/>
  <c r="L21" i="5"/>
  <c r="K21" i="5"/>
  <c r="L75" i="5" s="1"/>
  <c r="L20" i="5"/>
  <c r="M11" i="5" s="1"/>
  <c r="K20" i="5"/>
  <c r="L19" i="5"/>
  <c r="M74" i="5" s="1"/>
  <c r="K19" i="5"/>
  <c r="L74" i="5" s="1"/>
  <c r="M38" i="5" s="1"/>
  <c r="M18" i="5"/>
  <c r="L18" i="5"/>
  <c r="M10" i="5" s="1"/>
  <c r="N6" i="5" s="1"/>
  <c r="K18" i="5"/>
  <c r="L17" i="5"/>
  <c r="K17" i="5"/>
  <c r="L16" i="5"/>
  <c r="M9" i="5" s="1"/>
  <c r="N69" i="5" s="1"/>
  <c r="K16" i="5"/>
  <c r="L9" i="5" s="1"/>
  <c r="M15" i="5"/>
  <c r="L15" i="5"/>
  <c r="K15" i="5"/>
  <c r="L14" i="5"/>
  <c r="M8" i="5" s="1"/>
  <c r="K14" i="5"/>
  <c r="L13" i="5"/>
  <c r="M71" i="5" s="1"/>
  <c r="K13" i="5"/>
  <c r="L71" i="5" s="1"/>
  <c r="K12" i="5"/>
  <c r="L11" i="5"/>
  <c r="K11" i="5"/>
  <c r="L10" i="5"/>
  <c r="M70" i="5" s="1"/>
  <c r="N36" i="5" s="1"/>
  <c r="K10" i="5"/>
  <c r="L6" i="5" s="1"/>
  <c r="K9" i="5"/>
  <c r="L8" i="5"/>
  <c r="M5" i="5" s="1"/>
  <c r="K8" i="5"/>
  <c r="K7" i="5"/>
  <c r="L68" i="5" s="1"/>
  <c r="M35" i="5" s="1"/>
  <c r="M6" i="5"/>
  <c r="K6" i="5"/>
  <c r="L5" i="5"/>
  <c r="K5" i="5"/>
  <c r="K4" i="5"/>
  <c r="L3" i="5" s="1"/>
  <c r="M66" i="5" s="1"/>
  <c r="K3" i="5"/>
  <c r="L66" i="5" s="1"/>
  <c r="L2" i="5"/>
  <c r="K2" i="5"/>
  <c r="N54" i="5" l="1"/>
  <c r="O28" i="5" s="1"/>
  <c r="N118" i="5"/>
  <c r="O60" i="5" s="1"/>
  <c r="O55" i="6"/>
  <c r="O4" i="5"/>
  <c r="M34" i="5"/>
  <c r="N18" i="5" s="1"/>
  <c r="O114" i="6"/>
  <c r="P58" i="6" s="1"/>
  <c r="M107" i="6"/>
  <c r="N118" i="6" s="1"/>
  <c r="M125" i="6"/>
  <c r="M76" i="7"/>
  <c r="M12" i="7"/>
  <c r="L7" i="5"/>
  <c r="M68" i="5" s="1"/>
  <c r="N35" i="5" s="1"/>
  <c r="M69" i="5"/>
  <c r="M73" i="5"/>
  <c r="M7" i="5"/>
  <c r="N68" i="5" s="1"/>
  <c r="O35" i="5" s="1"/>
  <c r="M76" i="5"/>
  <c r="N55" i="5"/>
  <c r="N27" i="5"/>
  <c r="N6" i="6"/>
  <c r="O4" i="6" s="1"/>
  <c r="N36" i="6"/>
  <c r="M32" i="6"/>
  <c r="N75" i="6"/>
  <c r="O102" i="6" s="1"/>
  <c r="N116" i="7"/>
  <c r="N71" i="5"/>
  <c r="M30" i="5"/>
  <c r="N16" i="5" s="1"/>
  <c r="M94" i="5"/>
  <c r="O51" i="6"/>
  <c r="P90" i="6" s="1"/>
  <c r="M3" i="7"/>
  <c r="N66" i="7" s="1"/>
  <c r="O34" i="7" s="1"/>
  <c r="M2" i="5"/>
  <c r="M4" i="5"/>
  <c r="N3" i="5" s="1"/>
  <c r="M102" i="5"/>
  <c r="N28" i="5"/>
  <c r="O15" i="5" s="1"/>
  <c r="M88" i="5"/>
  <c r="N33" i="5"/>
  <c r="N51" i="6"/>
  <c r="O72" i="6"/>
  <c r="N104" i="6"/>
  <c r="O53" i="6" s="1"/>
  <c r="N35" i="6"/>
  <c r="N103" i="6"/>
  <c r="O116" i="6" s="1"/>
  <c r="P59" i="6" s="1"/>
  <c r="Q94" i="6" s="1"/>
  <c r="R94" i="6" s="1"/>
  <c r="N44" i="6"/>
  <c r="O117" i="6"/>
  <c r="M73" i="8"/>
  <c r="N101" i="8" s="1"/>
  <c r="N70" i="5"/>
  <c r="O36" i="5" s="1"/>
  <c r="N58" i="5"/>
  <c r="O30" i="5" s="1"/>
  <c r="O124" i="5"/>
  <c r="M97" i="5"/>
  <c r="N66" i="6"/>
  <c r="N8" i="6"/>
  <c r="O5" i="6" s="1"/>
  <c r="P67" i="6" s="1"/>
  <c r="O38" i="6"/>
  <c r="N7" i="6"/>
  <c r="N78" i="6"/>
  <c r="O40" i="6" s="1"/>
  <c r="N49" i="6"/>
  <c r="O89" i="6" s="1"/>
  <c r="N113" i="6"/>
  <c r="M105" i="6"/>
  <c r="N58" i="6"/>
  <c r="N79" i="6"/>
  <c r="M72" i="7"/>
  <c r="M8" i="7"/>
  <c r="N5" i="7" s="1"/>
  <c r="L68" i="8"/>
  <c r="M35" i="8" s="1"/>
  <c r="L4" i="8"/>
  <c r="M3" i="8" s="1"/>
  <c r="N66" i="8" s="1"/>
  <c r="O47" i="5"/>
  <c r="N109" i="6"/>
  <c r="O119" i="6" s="1"/>
  <c r="N45" i="6"/>
  <c r="O87" i="6" s="1"/>
  <c r="M67" i="5"/>
  <c r="N98" i="5" s="1"/>
  <c r="N5" i="5"/>
  <c r="M29" i="5"/>
  <c r="L4" i="5"/>
  <c r="M3" i="5" s="1"/>
  <c r="N66" i="5" s="1"/>
  <c r="N100" i="5"/>
  <c r="N38" i="5"/>
  <c r="N25" i="5"/>
  <c r="O77" i="5" s="1"/>
  <c r="M27" i="5"/>
  <c r="M91" i="5"/>
  <c r="N88" i="5"/>
  <c r="O45" i="5" s="1"/>
  <c r="N30" i="5"/>
  <c r="O16" i="5" s="1"/>
  <c r="P9" i="5" s="1"/>
  <c r="M56" i="5"/>
  <c r="N29" i="5" s="1"/>
  <c r="N128" i="5"/>
  <c r="M129" i="5"/>
  <c r="M99" i="6"/>
  <c r="N114" i="6" s="1"/>
  <c r="O58" i="6" s="1"/>
  <c r="M23" i="6"/>
  <c r="O85" i="6"/>
  <c r="M50" i="6"/>
  <c r="N60" i="6"/>
  <c r="M64" i="6"/>
  <c r="M128" i="6"/>
  <c r="M82" i="7"/>
  <c r="M18" i="7"/>
  <c r="N10" i="7" s="1"/>
  <c r="M51" i="5"/>
  <c r="M119" i="5"/>
  <c r="N124" i="5" s="1"/>
  <c r="O63" i="5" s="1"/>
  <c r="M73" i="6"/>
  <c r="N101" i="6" s="1"/>
  <c r="O115" i="6" s="1"/>
  <c r="M82" i="6"/>
  <c r="N42" i="6" s="1"/>
  <c r="M45" i="6"/>
  <c r="M91" i="6"/>
  <c r="N110" i="6" s="1"/>
  <c r="M63" i="6"/>
  <c r="L70" i="7"/>
  <c r="M36" i="7" s="1"/>
  <c r="N49" i="7"/>
  <c r="N62" i="8"/>
  <c r="O32" i="8" s="1"/>
  <c r="L97" i="9"/>
  <c r="L33" i="9"/>
  <c r="M81" i="9" s="1"/>
  <c r="N105" i="9" s="1"/>
  <c r="M77" i="5"/>
  <c r="N103" i="5" s="1"/>
  <c r="M80" i="5"/>
  <c r="M83" i="5"/>
  <c r="N106" i="5" s="1"/>
  <c r="M86" i="5"/>
  <c r="M95" i="5"/>
  <c r="N112" i="5" s="1"/>
  <c r="M41" i="5"/>
  <c r="N85" i="5" s="1"/>
  <c r="M50" i="5"/>
  <c r="N26" i="5" s="1"/>
  <c r="O14" i="5" s="1"/>
  <c r="P8" i="5" s="1"/>
  <c r="Q5" i="5" s="1"/>
  <c r="R5" i="5" s="1"/>
  <c r="M112" i="5"/>
  <c r="N57" i="5" s="1"/>
  <c r="M59" i="5"/>
  <c r="N94" i="5" s="1"/>
  <c r="M121" i="5"/>
  <c r="N125" i="5" s="1"/>
  <c r="M4" i="6"/>
  <c r="N3" i="6" s="1"/>
  <c r="O66" i="6" s="1"/>
  <c r="M72" i="6"/>
  <c r="L74" i="6"/>
  <c r="M38" i="6" s="1"/>
  <c r="N20" i="6" s="1"/>
  <c r="M13" i="6"/>
  <c r="N71" i="6" s="1"/>
  <c r="O100" i="6" s="1"/>
  <c r="L83" i="6"/>
  <c r="M106" i="6" s="1"/>
  <c r="M22" i="6"/>
  <c r="N12" i="6" s="1"/>
  <c r="N46" i="6"/>
  <c r="L92" i="6"/>
  <c r="M31" i="6"/>
  <c r="N80" i="6" s="1"/>
  <c r="L101" i="6"/>
  <c r="M115" i="6" s="1"/>
  <c r="N122" i="6" s="1"/>
  <c r="L78" i="6"/>
  <c r="L87" i="6"/>
  <c r="M108" i="6" s="1"/>
  <c r="N55" i="6" s="1"/>
  <c r="L110" i="6"/>
  <c r="L96" i="6"/>
  <c r="L105" i="6"/>
  <c r="M117" i="6" s="1"/>
  <c r="L114" i="6"/>
  <c r="M68" i="7"/>
  <c r="N35" i="7" s="1"/>
  <c r="O82" i="7" s="1"/>
  <c r="M70" i="7"/>
  <c r="M51" i="7"/>
  <c r="N90" i="7" s="1"/>
  <c r="M85" i="7"/>
  <c r="M97" i="7"/>
  <c r="N113" i="7" s="1"/>
  <c r="M33" i="7"/>
  <c r="N81" i="7" s="1"/>
  <c r="M67" i="8"/>
  <c r="N99" i="8"/>
  <c r="M18" i="8"/>
  <c r="M82" i="8"/>
  <c r="N42" i="8" s="1"/>
  <c r="M60" i="5"/>
  <c r="N31" i="5" s="1"/>
  <c r="N10" i="6"/>
  <c r="O6" i="6" s="1"/>
  <c r="M36" i="6"/>
  <c r="N19" i="6" s="1"/>
  <c r="M54" i="6"/>
  <c r="N28" i="6" s="1"/>
  <c r="M72" i="5"/>
  <c r="N37" i="5" s="1"/>
  <c r="O83" i="5" s="1"/>
  <c r="M75" i="5"/>
  <c r="N102" i="5" s="1"/>
  <c r="O52" i="5" s="1"/>
  <c r="M104" i="5"/>
  <c r="N53" i="5" s="1"/>
  <c r="M42" i="5"/>
  <c r="N22" i="5" s="1"/>
  <c r="O12" i="5" s="1"/>
  <c r="L36" i="5"/>
  <c r="M19" i="5" s="1"/>
  <c r="M43" i="5"/>
  <c r="N87" i="5"/>
  <c r="L48" i="5"/>
  <c r="M25" i="5" s="1"/>
  <c r="M110" i="5"/>
  <c r="L54" i="5"/>
  <c r="M28" i="5" s="1"/>
  <c r="N15" i="5" s="1"/>
  <c r="M113" i="5"/>
  <c r="M111" i="5"/>
  <c r="N120" i="5" s="1"/>
  <c r="M122" i="5"/>
  <c r="N62" i="5" s="1"/>
  <c r="M6" i="6"/>
  <c r="M15" i="6"/>
  <c r="N72" i="6" s="1"/>
  <c r="M76" i="6"/>
  <c r="N39" i="6" s="1"/>
  <c r="M24" i="6"/>
  <c r="M33" i="6"/>
  <c r="N81" i="6" s="1"/>
  <c r="O105" i="6" s="1"/>
  <c r="M85" i="6"/>
  <c r="N107" i="6" s="1"/>
  <c r="M42" i="6"/>
  <c r="M51" i="6"/>
  <c r="N90" i="6" s="1"/>
  <c r="M94" i="6"/>
  <c r="N48" i="6" s="1"/>
  <c r="M60" i="6"/>
  <c r="M71" i="7"/>
  <c r="N100" i="7" s="1"/>
  <c r="O51" i="7" s="1"/>
  <c r="M73" i="7"/>
  <c r="N101" i="7" s="1"/>
  <c r="N26" i="7"/>
  <c r="M20" i="8"/>
  <c r="L121" i="8"/>
  <c r="M125" i="8" s="1"/>
  <c r="L57" i="8"/>
  <c r="M99" i="5"/>
  <c r="N114" i="5" s="1"/>
  <c r="M116" i="5"/>
  <c r="N59" i="5" s="1"/>
  <c r="N93" i="5"/>
  <c r="O111" i="5" s="1"/>
  <c r="M125" i="5"/>
  <c r="N127" i="5" s="1"/>
  <c r="M67" i="6"/>
  <c r="N98" i="6" s="1"/>
  <c r="O50" i="6" s="1"/>
  <c r="M39" i="6"/>
  <c r="M48" i="6"/>
  <c r="N4" i="7"/>
  <c r="O3" i="7" s="1"/>
  <c r="M39" i="7"/>
  <c r="M14" i="7"/>
  <c r="N8" i="7" s="1"/>
  <c r="M63" i="7"/>
  <c r="N96" i="7" s="1"/>
  <c r="L67" i="5"/>
  <c r="M98" i="5" s="1"/>
  <c r="L70" i="5"/>
  <c r="M36" i="5" s="1"/>
  <c r="L73" i="5"/>
  <c r="M101" i="5" s="1"/>
  <c r="L76" i="5"/>
  <c r="L27" i="5"/>
  <c r="M78" i="5" s="1"/>
  <c r="N40" i="5" s="1"/>
  <c r="L33" i="5"/>
  <c r="M81" i="5" s="1"/>
  <c r="N105" i="5" s="1"/>
  <c r="L39" i="5"/>
  <c r="M84" i="5" s="1"/>
  <c r="N43" i="5" s="1"/>
  <c r="L45" i="5"/>
  <c r="M87" i="5" s="1"/>
  <c r="N108" i="5" s="1"/>
  <c r="L51" i="5"/>
  <c r="M90" i="5" s="1"/>
  <c r="N46" i="5" s="1"/>
  <c r="L57" i="5"/>
  <c r="M93" i="5" s="1"/>
  <c r="L63" i="5"/>
  <c r="M96" i="5" s="1"/>
  <c r="N49" i="5" s="1"/>
  <c r="M44" i="5"/>
  <c r="N23" i="5" s="1"/>
  <c r="M53" i="5"/>
  <c r="N91" i="5" s="1"/>
  <c r="M62" i="5"/>
  <c r="N32" i="5" s="1"/>
  <c r="O17" i="5" s="1"/>
  <c r="M66" i="6"/>
  <c r="L68" i="6"/>
  <c r="M35" i="6" s="1"/>
  <c r="N82" i="6" s="1"/>
  <c r="M7" i="6"/>
  <c r="N68" i="6" s="1"/>
  <c r="O35" i="6" s="1"/>
  <c r="M75" i="6"/>
  <c r="N102" i="6" s="1"/>
  <c r="L77" i="6"/>
  <c r="M103" i="6" s="1"/>
  <c r="M16" i="6"/>
  <c r="N9" i="6" s="1"/>
  <c r="M84" i="6"/>
  <c r="L86" i="6"/>
  <c r="M25" i="6"/>
  <c r="N77" i="6" s="1"/>
  <c r="M93" i="6"/>
  <c r="N111" i="6" s="1"/>
  <c r="O120" i="6" s="1"/>
  <c r="L95" i="6"/>
  <c r="M112" i="6" s="1"/>
  <c r="L75" i="6"/>
  <c r="L104" i="6"/>
  <c r="L84" i="6"/>
  <c r="M43" i="6" s="1"/>
  <c r="N86" i="6" s="1"/>
  <c r="L93" i="6"/>
  <c r="M111" i="6" s="1"/>
  <c r="N120" i="6" s="1"/>
  <c r="L113" i="6"/>
  <c r="M121" i="6" s="1"/>
  <c r="L102" i="6"/>
  <c r="M52" i="6" s="1"/>
  <c r="L111" i="6"/>
  <c r="M120" i="6" s="1"/>
  <c r="N61" i="6" s="1"/>
  <c r="O95" i="6" s="1"/>
  <c r="L122" i="6"/>
  <c r="M62" i="6" s="1"/>
  <c r="N32" i="6" s="1"/>
  <c r="L120" i="6"/>
  <c r="M61" i="6" s="1"/>
  <c r="N95" i="6" s="1"/>
  <c r="L129" i="6"/>
  <c r="M74" i="7"/>
  <c r="N38" i="7" s="1"/>
  <c r="N72" i="7"/>
  <c r="N57" i="7"/>
  <c r="M66" i="7"/>
  <c r="N34" i="7" s="1"/>
  <c r="L67" i="7"/>
  <c r="L71" i="7"/>
  <c r="L8" i="7"/>
  <c r="M5" i="7" s="1"/>
  <c r="N67" i="7" s="1"/>
  <c r="L75" i="7"/>
  <c r="M102" i="7" s="1"/>
  <c r="N52" i="7" s="1"/>
  <c r="L78" i="7"/>
  <c r="M40" i="7" s="1"/>
  <c r="L80" i="7"/>
  <c r="L81" i="7"/>
  <c r="M105" i="7" s="1"/>
  <c r="L83" i="7"/>
  <c r="M106" i="7" s="1"/>
  <c r="L84" i="7"/>
  <c r="M43" i="7" s="1"/>
  <c r="L85" i="7"/>
  <c r="L21" i="7"/>
  <c r="M75" i="7" s="1"/>
  <c r="L86" i="7"/>
  <c r="M44" i="7" s="1"/>
  <c r="N23" i="7" s="1"/>
  <c r="L87" i="7"/>
  <c r="L88" i="7"/>
  <c r="M45" i="7" s="1"/>
  <c r="L24" i="7"/>
  <c r="M13" i="7" s="1"/>
  <c r="N71" i="7" s="1"/>
  <c r="L89" i="7"/>
  <c r="N47" i="7"/>
  <c r="M22" i="8"/>
  <c r="N12" i="8" s="1"/>
  <c r="M86" i="8"/>
  <c r="L66" i="7"/>
  <c r="M34" i="7" s="1"/>
  <c r="O104" i="7"/>
  <c r="M79" i="7"/>
  <c r="N104" i="7" s="1"/>
  <c r="M114" i="7"/>
  <c r="N58" i="7" s="1"/>
  <c r="M52" i="7"/>
  <c r="N27" i="7" s="1"/>
  <c r="O78" i="7" s="1"/>
  <c r="L104" i="7"/>
  <c r="M53" i="7" s="1"/>
  <c r="L40" i="7"/>
  <c r="M21" i="7" s="1"/>
  <c r="M117" i="7"/>
  <c r="N123" i="7" s="1"/>
  <c r="M55" i="7"/>
  <c r="M24" i="7"/>
  <c r="L114" i="7"/>
  <c r="M58" i="7" s="1"/>
  <c r="N30" i="7" s="1"/>
  <c r="L50" i="7"/>
  <c r="M26" i="7" s="1"/>
  <c r="M91" i="7"/>
  <c r="M27" i="7"/>
  <c r="N78" i="7" s="1"/>
  <c r="O40" i="7" s="1"/>
  <c r="M102" i="8"/>
  <c r="M129" i="8"/>
  <c r="N129" i="8" s="1"/>
  <c r="L20" i="9"/>
  <c r="L84" i="9"/>
  <c r="L68" i="7"/>
  <c r="M35" i="7" s="1"/>
  <c r="N82" i="7" s="1"/>
  <c r="L5" i="7"/>
  <c r="M67" i="7" s="1"/>
  <c r="M69" i="7"/>
  <c r="L73" i="7"/>
  <c r="M101" i="7" s="1"/>
  <c r="L12" i="7"/>
  <c r="M7" i="7" s="1"/>
  <c r="N68" i="7" s="1"/>
  <c r="M110" i="7"/>
  <c r="N56" i="7" s="1"/>
  <c r="O29" i="7" s="1"/>
  <c r="L92" i="7"/>
  <c r="M47" i="7" s="1"/>
  <c r="M111" i="7"/>
  <c r="M48" i="7"/>
  <c r="N25" i="7" s="1"/>
  <c r="L123" i="7"/>
  <c r="L59" i="7"/>
  <c r="N65" i="7"/>
  <c r="M31" i="9"/>
  <c r="M95" i="9"/>
  <c r="L27" i="7"/>
  <c r="M78" i="7" s="1"/>
  <c r="L30" i="7"/>
  <c r="M16" i="7" s="1"/>
  <c r="L33" i="7"/>
  <c r="L36" i="7"/>
  <c r="M19" i="7" s="1"/>
  <c r="L39" i="7"/>
  <c r="L42" i="7"/>
  <c r="M22" i="7" s="1"/>
  <c r="L45" i="7"/>
  <c r="M87" i="7" s="1"/>
  <c r="L48" i="7"/>
  <c r="M25" i="7" s="1"/>
  <c r="N77" i="7" s="1"/>
  <c r="L125" i="7"/>
  <c r="M127" i="7" s="1"/>
  <c r="L76" i="8"/>
  <c r="M39" i="8" s="1"/>
  <c r="N84" i="8" s="1"/>
  <c r="N8" i="8"/>
  <c r="L83" i="8"/>
  <c r="L19" i="8"/>
  <c r="M74" i="8" s="1"/>
  <c r="N38" i="8" s="1"/>
  <c r="M31" i="8"/>
  <c r="M114" i="8"/>
  <c r="N58" i="8" s="1"/>
  <c r="M51" i="8"/>
  <c r="N90" i="8" s="1"/>
  <c r="M40" i="8"/>
  <c r="M54" i="8"/>
  <c r="M128" i="8"/>
  <c r="O103" i="9"/>
  <c r="P116" i="9" s="1"/>
  <c r="M70" i="11"/>
  <c r="M6" i="11"/>
  <c r="L107" i="7"/>
  <c r="M118" i="7" s="1"/>
  <c r="N60" i="7" s="1"/>
  <c r="L110" i="7"/>
  <c r="M56" i="7" s="1"/>
  <c r="L113" i="7"/>
  <c r="M121" i="7" s="1"/>
  <c r="L116" i="7"/>
  <c r="M59" i="7" s="1"/>
  <c r="L119" i="7"/>
  <c r="N2" i="8"/>
  <c r="M66" i="8"/>
  <c r="N34" i="8" s="1"/>
  <c r="O18" i="8" s="1"/>
  <c r="M70" i="8"/>
  <c r="N36" i="8" s="1"/>
  <c r="L71" i="8"/>
  <c r="L7" i="8"/>
  <c r="M68" i="8" s="1"/>
  <c r="N35" i="8" s="1"/>
  <c r="N39" i="8"/>
  <c r="O84" i="8" s="1"/>
  <c r="M72" i="8"/>
  <c r="L80" i="8"/>
  <c r="M41" i="8" s="1"/>
  <c r="N85" i="8" s="1"/>
  <c r="O107" i="8" s="1"/>
  <c r="L16" i="8"/>
  <c r="M9" i="8" s="1"/>
  <c r="N69" i="8" s="1"/>
  <c r="N106" i="8"/>
  <c r="L48" i="8"/>
  <c r="L112" i="8"/>
  <c r="M57" i="8" s="1"/>
  <c r="N93" i="8" s="1"/>
  <c r="O111" i="8" s="1"/>
  <c r="M61" i="8"/>
  <c r="M126" i="8"/>
  <c r="N64" i="8" s="1"/>
  <c r="N12" i="9"/>
  <c r="O7" i="9" s="1"/>
  <c r="M77" i="9"/>
  <c r="N103" i="9" s="1"/>
  <c r="M79" i="10"/>
  <c r="N104" i="10" s="1"/>
  <c r="M15" i="10"/>
  <c r="N72" i="10" s="1"/>
  <c r="M123" i="7"/>
  <c r="L128" i="7"/>
  <c r="M65" i="7" s="1"/>
  <c r="M37" i="8"/>
  <c r="L73" i="8"/>
  <c r="M101" i="8" s="1"/>
  <c r="M11" i="8"/>
  <c r="M7" i="8"/>
  <c r="N68" i="8" s="1"/>
  <c r="O35" i="8" s="1"/>
  <c r="L77" i="8"/>
  <c r="L13" i="8"/>
  <c r="M71" i="8" s="1"/>
  <c r="M13" i="8"/>
  <c r="N71" i="8" s="1"/>
  <c r="M77" i="8"/>
  <c r="N103" i="8" s="1"/>
  <c r="N26" i="8"/>
  <c r="M123" i="8"/>
  <c r="N126" i="8" s="1"/>
  <c r="M58" i="8"/>
  <c r="N30" i="8" s="1"/>
  <c r="N60" i="8"/>
  <c r="L17" i="9"/>
  <c r="L81" i="9"/>
  <c r="M105" i="9" s="1"/>
  <c r="L78" i="9"/>
  <c r="M40" i="9" s="1"/>
  <c r="M129" i="7"/>
  <c r="N129" i="7" s="1"/>
  <c r="M5" i="8"/>
  <c r="M4" i="8"/>
  <c r="N3" i="8" s="1"/>
  <c r="O66" i="8" s="1"/>
  <c r="L74" i="8"/>
  <c r="M38" i="8" s="1"/>
  <c r="L10" i="8"/>
  <c r="M6" i="8" s="1"/>
  <c r="M105" i="8"/>
  <c r="N117" i="8" s="1"/>
  <c r="L85" i="8"/>
  <c r="M107" i="8" s="1"/>
  <c r="M110" i="8"/>
  <c r="L30" i="8"/>
  <c r="L94" i="8"/>
  <c r="L103" i="8"/>
  <c r="M116" i="8" s="1"/>
  <c r="L39" i="8"/>
  <c r="M84" i="8" s="1"/>
  <c r="M120" i="8"/>
  <c r="L79" i="9"/>
  <c r="L15" i="9"/>
  <c r="M72" i="9" s="1"/>
  <c r="M17" i="9"/>
  <c r="N73" i="9" s="1"/>
  <c r="L122" i="7"/>
  <c r="M62" i="7" s="1"/>
  <c r="L67" i="8"/>
  <c r="M98" i="8" s="1"/>
  <c r="L82" i="8"/>
  <c r="M42" i="8" s="1"/>
  <c r="M43" i="8"/>
  <c r="N86" i="8" s="1"/>
  <c r="L89" i="8"/>
  <c r="M109" i="8" s="1"/>
  <c r="L70" i="8"/>
  <c r="M36" i="8" s="1"/>
  <c r="N19" i="8" s="1"/>
  <c r="L108" i="8"/>
  <c r="M55" i="8" s="1"/>
  <c r="N92" i="8" s="1"/>
  <c r="M119" i="8"/>
  <c r="N124" i="8" s="1"/>
  <c r="M49" i="8"/>
  <c r="L116" i="8"/>
  <c r="M59" i="8" s="1"/>
  <c r="M63" i="8"/>
  <c r="N96" i="8" s="1"/>
  <c r="M67" i="9"/>
  <c r="L85" i="9"/>
  <c r="M107" i="9" s="1"/>
  <c r="N118" i="9" s="1"/>
  <c r="L21" i="9"/>
  <c r="M75" i="9" s="1"/>
  <c r="N102" i="9" s="1"/>
  <c r="O52" i="9" s="1"/>
  <c r="L123" i="9"/>
  <c r="L59" i="9"/>
  <c r="L80" i="10"/>
  <c r="L16" i="10"/>
  <c r="M9" i="10" s="1"/>
  <c r="N69" i="10" s="1"/>
  <c r="L92" i="8"/>
  <c r="M47" i="8" s="1"/>
  <c r="N88" i="8" s="1"/>
  <c r="L101" i="8"/>
  <c r="M115" i="8" s="1"/>
  <c r="L110" i="8"/>
  <c r="M56" i="8" s="1"/>
  <c r="L47" i="8"/>
  <c r="L119" i="8"/>
  <c r="M124" i="8" s="1"/>
  <c r="N63" i="8" s="1"/>
  <c r="L56" i="8"/>
  <c r="M29" i="8" s="1"/>
  <c r="L128" i="8"/>
  <c r="M65" i="8" s="1"/>
  <c r="N97" i="8" s="1"/>
  <c r="O113" i="8" s="1"/>
  <c r="L65" i="8"/>
  <c r="M4" i="9"/>
  <c r="L36" i="9"/>
  <c r="M19" i="9" s="1"/>
  <c r="N74" i="9" s="1"/>
  <c r="M28" i="9"/>
  <c r="L69" i="9"/>
  <c r="M99" i="9" s="1"/>
  <c r="N114" i="9" s="1"/>
  <c r="L114" i="9"/>
  <c r="L50" i="9"/>
  <c r="M26" i="9" s="1"/>
  <c r="N14" i="9" s="1"/>
  <c r="M78" i="8"/>
  <c r="N40" i="8" s="1"/>
  <c r="M81" i="8"/>
  <c r="L73" i="9"/>
  <c r="M101" i="9" s="1"/>
  <c r="L9" i="9"/>
  <c r="M69" i="9" s="1"/>
  <c r="N99" i="9" s="1"/>
  <c r="N87" i="9"/>
  <c r="M96" i="9"/>
  <c r="M32" i="9"/>
  <c r="M37" i="9"/>
  <c r="N45" i="9"/>
  <c r="O87" i="9" s="1"/>
  <c r="M37" i="10"/>
  <c r="N43" i="10"/>
  <c r="M83" i="9"/>
  <c r="M93" i="9"/>
  <c r="N111" i="9" s="1"/>
  <c r="M29" i="9"/>
  <c r="N79" i="9" s="1"/>
  <c r="N75" i="9"/>
  <c r="O102" i="9" s="1"/>
  <c r="M119" i="9"/>
  <c r="N124" i="9" s="1"/>
  <c r="L86" i="8"/>
  <c r="M44" i="8" s="1"/>
  <c r="M87" i="8"/>
  <c r="N108" i="8" s="1"/>
  <c r="L95" i="8"/>
  <c r="M112" i="8" s="1"/>
  <c r="N57" i="8" s="1"/>
  <c r="M96" i="8"/>
  <c r="L104" i="8"/>
  <c r="M53" i="8" s="1"/>
  <c r="L41" i="8"/>
  <c r="L113" i="8"/>
  <c r="L50" i="8"/>
  <c r="M26" i="8" s="1"/>
  <c r="N14" i="8" s="1"/>
  <c r="L122" i="8"/>
  <c r="M62" i="8" s="1"/>
  <c r="L59" i="8"/>
  <c r="L2" i="9"/>
  <c r="M2" i="9" s="1"/>
  <c r="N2" i="9" s="1"/>
  <c r="L11" i="9"/>
  <c r="L75" i="9"/>
  <c r="M102" i="9" s="1"/>
  <c r="N52" i="9" s="1"/>
  <c r="N72" i="9"/>
  <c r="O37" i="9" s="1"/>
  <c r="N93" i="9"/>
  <c r="O111" i="9" s="1"/>
  <c r="N28" i="9"/>
  <c r="O15" i="9" s="1"/>
  <c r="M85" i="9"/>
  <c r="N107" i="9" s="1"/>
  <c r="M108" i="9"/>
  <c r="N55" i="9" s="1"/>
  <c r="L128" i="9"/>
  <c r="M65" i="9" s="1"/>
  <c r="N97" i="9" s="1"/>
  <c r="L64" i="9"/>
  <c r="M33" i="9" s="1"/>
  <c r="N81" i="9" s="1"/>
  <c r="L95" i="10"/>
  <c r="L31" i="10"/>
  <c r="M80" i="10" s="1"/>
  <c r="N41" i="10" s="1"/>
  <c r="L50" i="10"/>
  <c r="L114" i="10"/>
  <c r="M58" i="10" s="1"/>
  <c r="N30" i="10" s="1"/>
  <c r="L126" i="10"/>
  <c r="M64" i="10" s="1"/>
  <c r="N33" i="10" s="1"/>
  <c r="L62" i="10"/>
  <c r="M71" i="11"/>
  <c r="N100" i="11" s="1"/>
  <c r="M7" i="11"/>
  <c r="N68" i="11" s="1"/>
  <c r="M80" i="11"/>
  <c r="M16" i="11"/>
  <c r="M78" i="9"/>
  <c r="N40" i="9" s="1"/>
  <c r="M42" i="9"/>
  <c r="M86" i="9"/>
  <c r="N44" i="9" s="1"/>
  <c r="M110" i="9"/>
  <c r="N25" i="9"/>
  <c r="L119" i="9"/>
  <c r="N20" i="10"/>
  <c r="N100" i="10"/>
  <c r="N96" i="10"/>
  <c r="O49" i="10" s="1"/>
  <c r="N32" i="10"/>
  <c r="O17" i="10" s="1"/>
  <c r="N97" i="10"/>
  <c r="L67" i="9"/>
  <c r="M98" i="9" s="1"/>
  <c r="M71" i="9"/>
  <c r="M39" i="9"/>
  <c r="M41" i="9"/>
  <c r="N85" i="9" s="1"/>
  <c r="M84" i="9"/>
  <c r="N7" i="9"/>
  <c r="M82" i="9"/>
  <c r="N42" i="9" s="1"/>
  <c r="M23" i="9"/>
  <c r="N76" i="9" s="1"/>
  <c r="O39" i="9" s="1"/>
  <c r="N13" i="9"/>
  <c r="M67" i="10"/>
  <c r="N98" i="10" s="1"/>
  <c r="N44" i="10"/>
  <c r="M111" i="10"/>
  <c r="L105" i="10"/>
  <c r="M117" i="10" s="1"/>
  <c r="N123" i="10" s="1"/>
  <c r="L41" i="10"/>
  <c r="M85" i="10" s="1"/>
  <c r="N107" i="10" s="1"/>
  <c r="M118" i="10"/>
  <c r="M54" i="10"/>
  <c r="L68" i="9"/>
  <c r="L71" i="9"/>
  <c r="M100" i="9" s="1"/>
  <c r="N51" i="9" s="1"/>
  <c r="M120" i="9"/>
  <c r="N61" i="9" s="1"/>
  <c r="M127" i="9"/>
  <c r="M129" i="9"/>
  <c r="N129" i="9" s="1"/>
  <c r="M5" i="10"/>
  <c r="N67" i="10" s="1"/>
  <c r="O98" i="10" s="1"/>
  <c r="N3" i="10"/>
  <c r="M73" i="10"/>
  <c r="N101" i="10" s="1"/>
  <c r="O115" i="10" s="1"/>
  <c r="M23" i="10"/>
  <c r="M77" i="10"/>
  <c r="M29" i="10"/>
  <c r="N79" i="10" s="1"/>
  <c r="M93" i="10"/>
  <c r="N111" i="10" s="1"/>
  <c r="N105" i="10"/>
  <c r="O117" i="10" s="1"/>
  <c r="M92" i="10"/>
  <c r="L90" i="9"/>
  <c r="M46" i="9" s="1"/>
  <c r="L93" i="9"/>
  <c r="L96" i="9"/>
  <c r="M49" i="9" s="1"/>
  <c r="N89" i="9" s="1"/>
  <c r="L99" i="9"/>
  <c r="L102" i="9"/>
  <c r="M52" i="9" s="1"/>
  <c r="L105" i="9"/>
  <c r="L108" i="9"/>
  <c r="M55" i="9" s="1"/>
  <c r="N92" i="9" s="1"/>
  <c r="N125" i="9"/>
  <c r="O127" i="9" s="1"/>
  <c r="M68" i="10"/>
  <c r="N35" i="10" s="1"/>
  <c r="M102" i="10"/>
  <c r="N52" i="10" s="1"/>
  <c r="M14" i="10"/>
  <c r="M72" i="10"/>
  <c r="L86" i="10"/>
  <c r="M44" i="10" s="1"/>
  <c r="L22" i="10"/>
  <c r="M12" i="10" s="1"/>
  <c r="N7" i="10" s="1"/>
  <c r="M83" i="10"/>
  <c r="N106" i="10" s="1"/>
  <c r="O54" i="10" s="1"/>
  <c r="L83" i="10"/>
  <c r="N128" i="10"/>
  <c r="N64" i="10"/>
  <c r="N99" i="11"/>
  <c r="M109" i="9"/>
  <c r="M112" i="9"/>
  <c r="M115" i="9"/>
  <c r="M118" i="9"/>
  <c r="L116" i="9"/>
  <c r="M59" i="9" s="1"/>
  <c r="M99" i="10"/>
  <c r="N114" i="10" s="1"/>
  <c r="L10" i="10"/>
  <c r="M6" i="10" s="1"/>
  <c r="M76" i="10"/>
  <c r="N39" i="10" s="1"/>
  <c r="M103" i="10"/>
  <c r="N38" i="10"/>
  <c r="O20" i="10" s="1"/>
  <c r="M108" i="10"/>
  <c r="M123" i="9"/>
  <c r="N2" i="10"/>
  <c r="O2" i="10" s="1"/>
  <c r="M66" i="10"/>
  <c r="M70" i="10"/>
  <c r="N36" i="10" s="1"/>
  <c r="M18" i="10"/>
  <c r="N10" i="10" s="1"/>
  <c r="M11" i="10"/>
  <c r="M7" i="10"/>
  <c r="N68" i="10" s="1"/>
  <c r="O35" i="10" s="1"/>
  <c r="M17" i="10"/>
  <c r="M10" i="10"/>
  <c r="N6" i="10" s="1"/>
  <c r="O4" i="10" s="1"/>
  <c r="L104" i="10"/>
  <c r="L40" i="10"/>
  <c r="L101" i="10"/>
  <c r="L91" i="10"/>
  <c r="M110" i="10" s="1"/>
  <c r="N56" i="10" s="1"/>
  <c r="M49" i="10"/>
  <c r="L100" i="10"/>
  <c r="M51" i="10" s="1"/>
  <c r="N90" i="10" s="1"/>
  <c r="M52" i="10"/>
  <c r="L67" i="10"/>
  <c r="M98" i="10" s="1"/>
  <c r="L70" i="10"/>
  <c r="M36" i="10" s="1"/>
  <c r="N19" i="10" s="1"/>
  <c r="L73" i="10"/>
  <c r="M101" i="10" s="1"/>
  <c r="L76" i="10"/>
  <c r="M39" i="10" s="1"/>
  <c r="N84" i="10" s="1"/>
  <c r="L79" i="10"/>
  <c r="M104" i="10" s="1"/>
  <c r="N80" i="10"/>
  <c r="L82" i="10"/>
  <c r="M42" i="10" s="1"/>
  <c r="L85" i="10"/>
  <c r="M107" i="10" s="1"/>
  <c r="L88" i="10"/>
  <c r="M45" i="10" s="1"/>
  <c r="N87" i="10" s="1"/>
  <c r="L49" i="10"/>
  <c r="L116" i="10"/>
  <c r="M59" i="10" s="1"/>
  <c r="M68" i="11"/>
  <c r="N35" i="11" s="1"/>
  <c r="M4" i="11"/>
  <c r="N3" i="11" s="1"/>
  <c r="L110" i="10"/>
  <c r="M56" i="10" s="1"/>
  <c r="L119" i="10"/>
  <c r="M124" i="10" s="1"/>
  <c r="N63" i="10" s="1"/>
  <c r="O80" i="11"/>
  <c r="O16" i="11"/>
  <c r="L94" i="10"/>
  <c r="M48" i="10" s="1"/>
  <c r="N25" i="10" s="1"/>
  <c r="L97" i="10"/>
  <c r="M113" i="10" s="1"/>
  <c r="M114" i="10"/>
  <c r="M55" i="10"/>
  <c r="N92" i="10" s="1"/>
  <c r="N112" i="10"/>
  <c r="M99" i="11"/>
  <c r="N114" i="11" s="1"/>
  <c r="M128" i="10"/>
  <c r="N65" i="10" s="1"/>
  <c r="O97" i="10" s="1"/>
  <c r="M3" i="11"/>
  <c r="M9" i="11"/>
  <c r="L84" i="11"/>
  <c r="L20" i="11"/>
  <c r="N108" i="11"/>
  <c r="L109" i="10"/>
  <c r="M119" i="10" s="1"/>
  <c r="N124" i="10" s="1"/>
  <c r="L112" i="10"/>
  <c r="M57" i="10" s="1"/>
  <c r="N93" i="10" s="1"/>
  <c r="O111" i="10" s="1"/>
  <c r="L115" i="10"/>
  <c r="L118" i="10"/>
  <c r="M39" i="11"/>
  <c r="M118" i="11"/>
  <c r="M125" i="10"/>
  <c r="O23" i="11"/>
  <c r="M95" i="11"/>
  <c r="N112" i="11" s="1"/>
  <c r="M31" i="11"/>
  <c r="N80" i="11" s="1"/>
  <c r="O41" i="11" s="1"/>
  <c r="N46" i="11"/>
  <c r="O24" i="11" s="1"/>
  <c r="L71" i="11"/>
  <c r="M15" i="11"/>
  <c r="L81" i="11"/>
  <c r="L17" i="11"/>
  <c r="M73" i="11" s="1"/>
  <c r="N109" i="11"/>
  <c r="O119" i="11" s="1"/>
  <c r="N78" i="11"/>
  <c r="M92" i="11"/>
  <c r="N47" i="11" s="1"/>
  <c r="M28" i="11"/>
  <c r="N15" i="11" s="1"/>
  <c r="O72" i="11" s="1"/>
  <c r="M19" i="11"/>
  <c r="N74" i="11" s="1"/>
  <c r="O38" i="11" s="1"/>
  <c r="M22" i="11"/>
  <c r="N12" i="11" s="1"/>
  <c r="M25" i="11"/>
  <c r="N77" i="11" s="1"/>
  <c r="L78" i="11"/>
  <c r="L14" i="11"/>
  <c r="N107" i="11"/>
  <c r="O118" i="11" s="1"/>
  <c r="P60" i="11" s="1"/>
  <c r="N13" i="11"/>
  <c r="O71" i="11" s="1"/>
  <c r="L90" i="11"/>
  <c r="L26" i="11"/>
  <c r="L93" i="11"/>
  <c r="L29" i="11"/>
  <c r="M79" i="11" s="1"/>
  <c r="M97" i="11"/>
  <c r="N113" i="11" s="1"/>
  <c r="O121" i="11" s="1"/>
  <c r="L3" i="11"/>
  <c r="M66" i="11" s="1"/>
  <c r="N34" i="11" s="1"/>
  <c r="O18" i="11" s="1"/>
  <c r="L72" i="11"/>
  <c r="M82" i="11"/>
  <c r="N75" i="11"/>
  <c r="L87" i="11"/>
  <c r="M108" i="11" s="1"/>
  <c r="N55" i="11" s="1"/>
  <c r="L23" i="11"/>
  <c r="M76" i="11" s="1"/>
  <c r="N39" i="11" s="1"/>
  <c r="N81" i="11"/>
  <c r="N62" i="11"/>
  <c r="N127" i="11"/>
  <c r="L68" i="11"/>
  <c r="M35" i="11" s="1"/>
  <c r="N82" i="11" s="1"/>
  <c r="L70" i="11"/>
  <c r="M36" i="11" s="1"/>
  <c r="L37" i="11"/>
  <c r="M83" i="11" s="1"/>
  <c r="N106" i="11" s="1"/>
  <c r="M45" i="11"/>
  <c r="M91" i="11"/>
  <c r="N110" i="11" s="1"/>
  <c r="L96" i="11"/>
  <c r="M49" i="11" s="1"/>
  <c r="L32" i="11"/>
  <c r="M96" i="11"/>
  <c r="L74" i="11"/>
  <c r="M38" i="11" s="1"/>
  <c r="N20" i="11" s="1"/>
  <c r="L77" i="11"/>
  <c r="M103" i="11" s="1"/>
  <c r="L80" i="11"/>
  <c r="M41" i="11" s="1"/>
  <c r="L83" i="11"/>
  <c r="M106" i="11" s="1"/>
  <c r="L86" i="11"/>
  <c r="L89" i="11"/>
  <c r="M109" i="11" s="1"/>
  <c r="L92" i="11"/>
  <c r="M47" i="11" s="1"/>
  <c r="L95" i="11"/>
  <c r="M112" i="11" s="1"/>
  <c r="M114" i="11"/>
  <c r="M117" i="11"/>
  <c r="M120" i="11"/>
  <c r="L94" i="11"/>
  <c r="N95" i="11"/>
  <c r="O112" i="11" s="1"/>
  <c r="L97" i="11"/>
  <c r="L100" i="11"/>
  <c r="M51" i="11" s="1"/>
  <c r="N90" i="11" s="1"/>
  <c r="L103" i="11"/>
  <c r="L106" i="11"/>
  <c r="M54" i="11" s="1"/>
  <c r="L109" i="11"/>
  <c r="L112" i="11"/>
  <c r="M123" i="11"/>
  <c r="N126" i="11" s="1"/>
  <c r="O64" i="11" s="1"/>
  <c r="M126" i="11"/>
  <c r="L125" i="11"/>
  <c r="L126" i="11"/>
  <c r="L128" i="11"/>
  <c r="L129" i="11"/>
  <c r="M129" i="11" s="1"/>
  <c r="P120" i="10" l="1"/>
  <c r="O47" i="10"/>
  <c r="P11" i="10"/>
  <c r="N28" i="10"/>
  <c r="O15" i="10" s="1"/>
  <c r="O92" i="9"/>
  <c r="N83" i="10"/>
  <c r="O11" i="11"/>
  <c r="O32" i="11"/>
  <c r="O96" i="11"/>
  <c r="M102" i="11"/>
  <c r="N52" i="11" s="1"/>
  <c r="O27" i="11" s="1"/>
  <c r="M14" i="11"/>
  <c r="N8" i="11" s="1"/>
  <c r="M78" i="11"/>
  <c r="N40" i="11" s="1"/>
  <c r="N72" i="11"/>
  <c r="O37" i="11" s="1"/>
  <c r="M11" i="11"/>
  <c r="M75" i="11"/>
  <c r="N53" i="10"/>
  <c r="O91" i="10" s="1"/>
  <c r="M115" i="10"/>
  <c r="N122" i="10" s="1"/>
  <c r="O62" i="10" s="1"/>
  <c r="N26" i="10"/>
  <c r="N122" i="9"/>
  <c r="M111" i="9"/>
  <c r="N120" i="9" s="1"/>
  <c r="M47" i="9"/>
  <c r="N88" i="9" s="1"/>
  <c r="O45" i="9" s="1"/>
  <c r="N103" i="10"/>
  <c r="N100" i="9"/>
  <c r="M112" i="10"/>
  <c r="N57" i="10" s="1"/>
  <c r="O93" i="10" s="1"/>
  <c r="N91" i="8"/>
  <c r="O110" i="8" s="1"/>
  <c r="P56" i="8" s="1"/>
  <c r="N104" i="9"/>
  <c r="O53" i="9" s="1"/>
  <c r="P91" i="9" s="1"/>
  <c r="N61" i="8"/>
  <c r="O95" i="8" s="1"/>
  <c r="M16" i="8"/>
  <c r="M80" i="8"/>
  <c r="N41" i="8" s="1"/>
  <c r="O85" i="8" s="1"/>
  <c r="P107" i="8" s="1"/>
  <c r="N117" i="9"/>
  <c r="P43" i="8"/>
  <c r="M124" i="7"/>
  <c r="M60" i="7"/>
  <c r="N65" i="8"/>
  <c r="O97" i="8" s="1"/>
  <c r="O42" i="7"/>
  <c r="N89" i="7"/>
  <c r="M100" i="7"/>
  <c r="N51" i="7" s="1"/>
  <c r="M102" i="6"/>
  <c r="N52" i="6" s="1"/>
  <c r="O69" i="6"/>
  <c r="P73" i="5"/>
  <c r="N19" i="5"/>
  <c r="O74" i="5" s="1"/>
  <c r="N84" i="6"/>
  <c r="M80" i="7"/>
  <c r="N41" i="7" s="1"/>
  <c r="O85" i="7" s="1"/>
  <c r="P107" i="7" s="1"/>
  <c r="O92" i="6"/>
  <c r="O127" i="5"/>
  <c r="M92" i="5"/>
  <c r="N47" i="5" s="1"/>
  <c r="O88" i="5" s="1"/>
  <c r="M89" i="7"/>
  <c r="N87" i="6"/>
  <c r="O108" i="6" s="1"/>
  <c r="N26" i="6"/>
  <c r="O65" i="5"/>
  <c r="P97" i="5" s="1"/>
  <c r="N79" i="5"/>
  <c r="O70" i="6"/>
  <c r="O68" i="6"/>
  <c r="P35" i="6" s="1"/>
  <c r="N113" i="5"/>
  <c r="O121" i="5" s="1"/>
  <c r="P123" i="6"/>
  <c r="M37" i="7"/>
  <c r="N83" i="7" s="1"/>
  <c r="O106" i="7" s="1"/>
  <c r="O66" i="5"/>
  <c r="N82" i="5"/>
  <c r="N17" i="6"/>
  <c r="O73" i="6" s="1"/>
  <c r="P101" i="6" s="1"/>
  <c r="O78" i="5"/>
  <c r="N101" i="5"/>
  <c r="O115" i="5" s="1"/>
  <c r="N127" i="6"/>
  <c r="N63" i="6"/>
  <c r="Q30" i="6"/>
  <c r="R30" i="6" s="1"/>
  <c r="N61" i="5"/>
  <c r="O95" i="5" s="1"/>
  <c r="P112" i="5" s="1"/>
  <c r="M65" i="11"/>
  <c r="M55" i="11"/>
  <c r="N92" i="11" s="1"/>
  <c r="M119" i="11"/>
  <c r="N124" i="11" s="1"/>
  <c r="M48" i="11"/>
  <c r="N25" i="11" s="1"/>
  <c r="N119" i="11"/>
  <c r="O124" i="11" s="1"/>
  <c r="N49" i="11"/>
  <c r="O105" i="11"/>
  <c r="M37" i="11"/>
  <c r="N83" i="11" s="1"/>
  <c r="O106" i="11" s="1"/>
  <c r="M101" i="11"/>
  <c r="M46" i="11"/>
  <c r="N24" i="11" s="1"/>
  <c r="O13" i="11" s="1"/>
  <c r="M110" i="11"/>
  <c r="O88" i="11"/>
  <c r="N76" i="11"/>
  <c r="O39" i="11" s="1"/>
  <c r="P84" i="11" s="1"/>
  <c r="Q43" i="11" s="1"/>
  <c r="R43" i="11" s="1"/>
  <c r="N67" i="11"/>
  <c r="M60" i="10"/>
  <c r="M43" i="11"/>
  <c r="N86" i="11" s="1"/>
  <c r="M107" i="11"/>
  <c r="N118" i="11" s="1"/>
  <c r="N111" i="11"/>
  <c r="O120" i="11" s="1"/>
  <c r="P61" i="11" s="1"/>
  <c r="Q95" i="11" s="1"/>
  <c r="R95" i="11" s="1"/>
  <c r="M123" i="10"/>
  <c r="N126" i="10" s="1"/>
  <c r="M115" i="11"/>
  <c r="N122" i="11" s="1"/>
  <c r="N29" i="10"/>
  <c r="N18" i="11"/>
  <c r="M21" i="10"/>
  <c r="N73" i="10"/>
  <c r="O101" i="10" s="1"/>
  <c r="P115" i="10" s="1"/>
  <c r="Q122" i="10" s="1"/>
  <c r="R122" i="10" s="1"/>
  <c r="N4" i="10"/>
  <c r="N57" i="9"/>
  <c r="M121" i="10"/>
  <c r="N37" i="10"/>
  <c r="O83" i="10" s="1"/>
  <c r="O47" i="9"/>
  <c r="N59" i="10"/>
  <c r="N71" i="10"/>
  <c r="O100" i="10" s="1"/>
  <c r="M2" i="11"/>
  <c r="N2" i="11" s="1"/>
  <c r="O2" i="11" s="1"/>
  <c r="N120" i="10"/>
  <c r="O61" i="10" s="1"/>
  <c r="P95" i="10" s="1"/>
  <c r="O71" i="9"/>
  <c r="N50" i="9"/>
  <c r="O26" i="9" s="1"/>
  <c r="M124" i="9"/>
  <c r="M60" i="9"/>
  <c r="M38" i="9"/>
  <c r="N20" i="9" s="1"/>
  <c r="M32" i="10"/>
  <c r="M96" i="10"/>
  <c r="M16" i="10"/>
  <c r="N9" i="10" s="1"/>
  <c r="O69" i="10" s="1"/>
  <c r="O34" i="10"/>
  <c r="P18" i="10" s="1"/>
  <c r="N33" i="9"/>
  <c r="M94" i="8"/>
  <c r="M30" i="8"/>
  <c r="N16" i="8" s="1"/>
  <c r="N78" i="9"/>
  <c r="O40" i="9" s="1"/>
  <c r="N115" i="9"/>
  <c r="O122" i="9" s="1"/>
  <c r="N15" i="9"/>
  <c r="O72" i="9" s="1"/>
  <c r="N79" i="8"/>
  <c r="N15" i="8"/>
  <c r="O72" i="8" s="1"/>
  <c r="M120" i="10"/>
  <c r="N61" i="10" s="1"/>
  <c r="O95" i="10" s="1"/>
  <c r="N39" i="9"/>
  <c r="M111" i="8"/>
  <c r="N120" i="8" s="1"/>
  <c r="M34" i="8"/>
  <c r="N18" i="8" s="1"/>
  <c r="O10" i="8" s="1"/>
  <c r="P6" i="8" s="1"/>
  <c r="M104" i="9"/>
  <c r="N53" i="9" s="1"/>
  <c r="O91" i="9" s="1"/>
  <c r="N53" i="8"/>
  <c r="N56" i="8"/>
  <c r="O29" i="8" s="1"/>
  <c r="N67" i="8"/>
  <c r="O98" i="8" s="1"/>
  <c r="M9" i="9"/>
  <c r="M73" i="9"/>
  <c r="N101" i="9" s="1"/>
  <c r="O115" i="9" s="1"/>
  <c r="M45" i="8"/>
  <c r="N87" i="8" s="1"/>
  <c r="O108" i="8" s="1"/>
  <c r="N100" i="8"/>
  <c r="O51" i="8" s="1"/>
  <c r="N97" i="7"/>
  <c r="O113" i="7" s="1"/>
  <c r="N33" i="7"/>
  <c r="N41" i="9"/>
  <c r="O85" i="9" s="1"/>
  <c r="N95" i="8"/>
  <c r="M10" i="8"/>
  <c r="N6" i="8" s="1"/>
  <c r="O82" i="8"/>
  <c r="N94" i="7"/>
  <c r="N40" i="10"/>
  <c r="O21" i="10" s="1"/>
  <c r="P75" i="10" s="1"/>
  <c r="N28" i="8"/>
  <c r="M106" i="8"/>
  <c r="N54" i="8" s="1"/>
  <c r="N108" i="7"/>
  <c r="N40" i="7"/>
  <c r="M94" i="7"/>
  <c r="M30" i="7"/>
  <c r="N17" i="7"/>
  <c r="M43" i="9"/>
  <c r="N86" i="9" s="1"/>
  <c r="O44" i="9" s="1"/>
  <c r="P23" i="9" s="1"/>
  <c r="N14" i="7"/>
  <c r="N24" i="8"/>
  <c r="O13" i="8" s="1"/>
  <c r="P71" i="8" s="1"/>
  <c r="M90" i="7"/>
  <c r="N46" i="7" s="1"/>
  <c r="O24" i="7" s="1"/>
  <c r="N102" i="7"/>
  <c r="O52" i="7" s="1"/>
  <c r="M41" i="7"/>
  <c r="N85" i="7" s="1"/>
  <c r="O107" i="7" s="1"/>
  <c r="P118" i="7" s="1"/>
  <c r="M98" i="7"/>
  <c r="M77" i="7"/>
  <c r="N103" i="7" s="1"/>
  <c r="N27" i="6"/>
  <c r="O78" i="6" s="1"/>
  <c r="P40" i="6" s="1"/>
  <c r="N116" i="6"/>
  <c r="O110" i="5"/>
  <c r="P56" i="5" s="1"/>
  <c r="N50" i="5"/>
  <c r="N84" i="7"/>
  <c r="N16" i="6"/>
  <c r="M93" i="8"/>
  <c r="N22" i="6"/>
  <c r="O12" i="6" s="1"/>
  <c r="N4" i="6"/>
  <c r="N56" i="5"/>
  <c r="O29" i="5" s="1"/>
  <c r="P79" i="5" s="1"/>
  <c r="N126" i="5"/>
  <c r="O64" i="5" s="1"/>
  <c r="N7" i="8"/>
  <c r="O68" i="8" s="1"/>
  <c r="M126" i="6"/>
  <c r="M40" i="6"/>
  <c r="M104" i="6"/>
  <c r="N53" i="6" s="1"/>
  <c r="O91" i="6" s="1"/>
  <c r="N54" i="6"/>
  <c r="O28" i="6" s="1"/>
  <c r="M89" i="5"/>
  <c r="N109" i="5" s="1"/>
  <c r="O119" i="5" s="1"/>
  <c r="P124" i="5" s="1"/>
  <c r="M113" i="9"/>
  <c r="N121" i="9" s="1"/>
  <c r="O125" i="9" s="1"/>
  <c r="M86" i="7"/>
  <c r="N44" i="7" s="1"/>
  <c r="O22" i="6"/>
  <c r="O79" i="5"/>
  <c r="P104" i="5" s="1"/>
  <c r="Q53" i="5" s="1"/>
  <c r="R53" i="5" s="1"/>
  <c r="M17" i="5"/>
  <c r="O104" i="6"/>
  <c r="P53" i="6" s="1"/>
  <c r="N83" i="6"/>
  <c r="O106" i="6" s="1"/>
  <c r="O36" i="6"/>
  <c r="M100" i="5"/>
  <c r="N51" i="5" s="1"/>
  <c r="O90" i="5" s="1"/>
  <c r="O2" i="6"/>
  <c r="N112" i="6"/>
  <c r="O57" i="6" s="1"/>
  <c r="N119" i="6"/>
  <c r="O124" i="6" s="1"/>
  <c r="M23" i="5"/>
  <c r="N2" i="5"/>
  <c r="O2" i="5" s="1"/>
  <c r="M122" i="7"/>
  <c r="N62" i="7" s="1"/>
  <c r="O92" i="5"/>
  <c r="P47" i="5" s="1"/>
  <c r="N99" i="5"/>
  <c r="O114" i="5" s="1"/>
  <c r="P58" i="5" s="1"/>
  <c r="M116" i="6"/>
  <c r="N59" i="6" s="1"/>
  <c r="O94" i="6" s="1"/>
  <c r="P48" i="6" s="1"/>
  <c r="N104" i="5"/>
  <c r="O53" i="5" s="1"/>
  <c r="P91" i="5" s="1"/>
  <c r="Q110" i="5" s="1"/>
  <c r="R110" i="5" s="1"/>
  <c r="N3" i="7"/>
  <c r="N54" i="11"/>
  <c r="O28" i="11" s="1"/>
  <c r="Q31" i="11"/>
  <c r="R31" i="11" s="1"/>
  <c r="N69" i="11"/>
  <c r="O99" i="11" s="1"/>
  <c r="O104" i="9"/>
  <c r="M36" i="9"/>
  <c r="N19" i="9" s="1"/>
  <c r="O101" i="9"/>
  <c r="M57" i="11"/>
  <c r="M121" i="11"/>
  <c r="N125" i="11" s="1"/>
  <c r="O127" i="11" s="1"/>
  <c r="N88" i="11"/>
  <c r="O54" i="11"/>
  <c r="N84" i="11"/>
  <c r="M25" i="10"/>
  <c r="M89" i="10"/>
  <c r="N10" i="11"/>
  <c r="M100" i="10"/>
  <c r="N51" i="10" s="1"/>
  <c r="O84" i="10"/>
  <c r="N47" i="10"/>
  <c r="O126" i="10"/>
  <c r="O63" i="9"/>
  <c r="N106" i="9"/>
  <c r="O54" i="9" s="1"/>
  <c r="O58" i="9"/>
  <c r="O49" i="8"/>
  <c r="N37" i="9"/>
  <c r="O83" i="9" s="1"/>
  <c r="N83" i="8"/>
  <c r="N36" i="11"/>
  <c r="O20" i="8"/>
  <c r="P11" i="8" s="1"/>
  <c r="M52" i="8"/>
  <c r="N27" i="8" s="1"/>
  <c r="O78" i="8" s="1"/>
  <c r="O88" i="7"/>
  <c r="O58" i="5"/>
  <c r="M64" i="11"/>
  <c r="N33" i="11" s="1"/>
  <c r="M128" i="11"/>
  <c r="N65" i="11" s="1"/>
  <c r="N28" i="11"/>
  <c r="N61" i="11"/>
  <c r="M44" i="11"/>
  <c r="N23" i="11" s="1"/>
  <c r="M81" i="11"/>
  <c r="N105" i="11" s="1"/>
  <c r="M17" i="11"/>
  <c r="N73" i="11" s="1"/>
  <c r="N79" i="11"/>
  <c r="O104" i="11" s="1"/>
  <c r="P53" i="11" s="1"/>
  <c r="O7" i="11"/>
  <c r="O40" i="11"/>
  <c r="P21" i="11" s="1"/>
  <c r="M100" i="11"/>
  <c r="N51" i="11" s="1"/>
  <c r="N127" i="10"/>
  <c r="O128" i="10" s="1"/>
  <c r="M122" i="10"/>
  <c r="N103" i="11"/>
  <c r="M42" i="11"/>
  <c r="N115" i="10"/>
  <c r="O122" i="10" s="1"/>
  <c r="N27" i="10"/>
  <c r="O78" i="10" s="1"/>
  <c r="M53" i="10"/>
  <c r="N91" i="10" s="1"/>
  <c r="O110" i="10" s="1"/>
  <c r="P56" i="10" s="1"/>
  <c r="M40" i="10"/>
  <c r="N21" i="10" s="1"/>
  <c r="O75" i="10" s="1"/>
  <c r="N34" i="10"/>
  <c r="O18" i="10" s="1"/>
  <c r="N119" i="9"/>
  <c r="O124" i="9" s="1"/>
  <c r="P63" i="9" s="1"/>
  <c r="M106" i="10"/>
  <c r="N54" i="10" s="1"/>
  <c r="N8" i="10"/>
  <c r="M117" i="9"/>
  <c r="N123" i="9" s="1"/>
  <c r="O126" i="9" s="1"/>
  <c r="P64" i="9" s="1"/>
  <c r="M53" i="9"/>
  <c r="N91" i="9" s="1"/>
  <c r="N26" i="11"/>
  <c r="N12" i="10"/>
  <c r="N76" i="10"/>
  <c r="N15" i="10"/>
  <c r="M109" i="10"/>
  <c r="N119" i="10" s="1"/>
  <c r="P84" i="9"/>
  <c r="N43" i="9"/>
  <c r="O86" i="9" s="1"/>
  <c r="P44" i="9" s="1"/>
  <c r="O113" i="10"/>
  <c r="M5" i="9"/>
  <c r="N67" i="9" s="1"/>
  <c r="O81" i="10"/>
  <c r="N65" i="9"/>
  <c r="N32" i="8"/>
  <c r="O93" i="8"/>
  <c r="P52" i="9"/>
  <c r="N17" i="9"/>
  <c r="O73" i="9" s="1"/>
  <c r="P101" i="9" s="1"/>
  <c r="N105" i="8"/>
  <c r="O38" i="9"/>
  <c r="P20" i="9" s="1"/>
  <c r="O96" i="8"/>
  <c r="P49" i="8" s="1"/>
  <c r="O99" i="10"/>
  <c r="P114" i="10" s="1"/>
  <c r="N94" i="8"/>
  <c r="O48" i="8" s="1"/>
  <c r="P25" i="8" s="1"/>
  <c r="M90" i="8"/>
  <c r="N32" i="7"/>
  <c r="O17" i="7" s="1"/>
  <c r="M8" i="9"/>
  <c r="N5" i="9" s="1"/>
  <c r="N35" i="9"/>
  <c r="N76" i="8"/>
  <c r="M103" i="8"/>
  <c r="N116" i="8" s="1"/>
  <c r="O59" i="8" s="1"/>
  <c r="N126" i="7"/>
  <c r="O116" i="9"/>
  <c r="N121" i="8"/>
  <c r="O125" i="8" s="1"/>
  <c r="O99" i="8"/>
  <c r="P114" i="8" s="1"/>
  <c r="M100" i="8"/>
  <c r="N51" i="8" s="1"/>
  <c r="O79" i="9"/>
  <c r="N21" i="8"/>
  <c r="N12" i="7"/>
  <c r="O7" i="7" s="1"/>
  <c r="M126" i="7"/>
  <c r="N64" i="7" s="1"/>
  <c r="O33" i="7" s="1"/>
  <c r="O35" i="7"/>
  <c r="P82" i="7" s="1"/>
  <c r="M11" i="9"/>
  <c r="N91" i="7"/>
  <c r="O110" i="7" s="1"/>
  <c r="N44" i="8"/>
  <c r="M109" i="7"/>
  <c r="N119" i="7" s="1"/>
  <c r="O124" i="7" s="1"/>
  <c r="M107" i="7"/>
  <c r="N118" i="7" s="1"/>
  <c r="M104" i="7"/>
  <c r="N53" i="7" s="1"/>
  <c r="O91" i="7" s="1"/>
  <c r="O18" i="7"/>
  <c r="P10" i="7" s="1"/>
  <c r="N125" i="6"/>
  <c r="P61" i="6"/>
  <c r="O52" i="6"/>
  <c r="P27" i="6" s="1"/>
  <c r="O76" i="5"/>
  <c r="P39" i="5" s="1"/>
  <c r="O117" i="5"/>
  <c r="N102" i="8"/>
  <c r="O52" i="8" s="1"/>
  <c r="M38" i="7"/>
  <c r="N20" i="7" s="1"/>
  <c r="P26" i="6"/>
  <c r="Q14" i="6" s="1"/>
  <c r="R14" i="6" s="1"/>
  <c r="N127" i="8"/>
  <c r="O128" i="8" s="1"/>
  <c r="O115" i="7"/>
  <c r="O118" i="6"/>
  <c r="P60" i="6" s="1"/>
  <c r="Q31" i="6" s="1"/>
  <c r="R31" i="6" s="1"/>
  <c r="N96" i="5"/>
  <c r="N77" i="5"/>
  <c r="N13" i="5"/>
  <c r="O80" i="5"/>
  <c r="N98" i="8"/>
  <c r="O50" i="8" s="1"/>
  <c r="P26" i="8" s="1"/>
  <c r="M58" i="6"/>
  <c r="M122" i="6"/>
  <c r="O62" i="6"/>
  <c r="O93" i="5"/>
  <c r="N44" i="5"/>
  <c r="P122" i="6"/>
  <c r="Q62" i="6" s="1"/>
  <c r="R62" i="6" s="1"/>
  <c r="N76" i="6"/>
  <c r="O39" i="6" s="1"/>
  <c r="P84" i="6" s="1"/>
  <c r="N60" i="5"/>
  <c r="P103" i="5"/>
  <c r="O50" i="5"/>
  <c r="N38" i="6"/>
  <c r="O20" i="6" s="1"/>
  <c r="O34" i="8"/>
  <c r="P18" i="8" s="1"/>
  <c r="N92" i="6"/>
  <c r="O121" i="6"/>
  <c r="P125" i="6" s="1"/>
  <c r="P20" i="6"/>
  <c r="Q11" i="6" s="1"/>
  <c r="R11" i="6" s="1"/>
  <c r="M37" i="5"/>
  <c r="N83" i="5" s="1"/>
  <c r="O106" i="5" s="1"/>
  <c r="N63" i="5"/>
  <c r="O96" i="5" s="1"/>
  <c r="O23" i="6"/>
  <c r="P76" i="6" s="1"/>
  <c r="N107" i="5"/>
  <c r="O118" i="5" s="1"/>
  <c r="M11" i="7"/>
  <c r="N48" i="5"/>
  <c r="O25" i="5" s="1"/>
  <c r="M23" i="7"/>
  <c r="N76" i="7" s="1"/>
  <c r="O39" i="7" s="1"/>
  <c r="N42" i="5"/>
  <c r="O22" i="5" s="1"/>
  <c r="O82" i="5"/>
  <c r="P42" i="5" s="1"/>
  <c r="N56" i="6"/>
  <c r="N67" i="5"/>
  <c r="O98" i="5" s="1"/>
  <c r="N34" i="5"/>
  <c r="O18" i="5" s="1"/>
  <c r="M52" i="11"/>
  <c r="M116" i="11"/>
  <c r="N59" i="11" s="1"/>
  <c r="O94" i="11" s="1"/>
  <c r="O92" i="11"/>
  <c r="P124" i="11"/>
  <c r="O66" i="11"/>
  <c r="P82" i="10"/>
  <c r="O27" i="10"/>
  <c r="N9" i="11"/>
  <c r="O69" i="11" s="1"/>
  <c r="O21" i="8"/>
  <c r="M88" i="8"/>
  <c r="N45" i="8" s="1"/>
  <c r="O87" i="8" s="1"/>
  <c r="M24" i="8"/>
  <c r="N13" i="8" s="1"/>
  <c r="O71" i="8" s="1"/>
  <c r="O123" i="8"/>
  <c r="O46" i="8"/>
  <c r="O7" i="8"/>
  <c r="N123" i="6"/>
  <c r="O126" i="6" s="1"/>
  <c r="N78" i="8"/>
  <c r="O40" i="8" s="1"/>
  <c r="O99" i="6"/>
  <c r="P114" i="6" s="1"/>
  <c r="Q58" i="6" s="1"/>
  <c r="R58" i="6" s="1"/>
  <c r="O30" i="6"/>
  <c r="O115" i="8"/>
  <c r="M32" i="5"/>
  <c r="N80" i="5"/>
  <c r="O60" i="6"/>
  <c r="N64" i="11"/>
  <c r="O33" i="11" s="1"/>
  <c r="P81" i="11" s="1"/>
  <c r="N58" i="11"/>
  <c r="O56" i="11"/>
  <c r="N104" i="11"/>
  <c r="O53" i="11" s="1"/>
  <c r="P85" i="11"/>
  <c r="M12" i="11"/>
  <c r="O8" i="11"/>
  <c r="N22" i="10"/>
  <c r="O12" i="10" s="1"/>
  <c r="O68" i="10"/>
  <c r="P35" i="10" s="1"/>
  <c r="M114" i="9"/>
  <c r="N58" i="9" s="1"/>
  <c r="M50" i="9"/>
  <c r="O66" i="10"/>
  <c r="M116" i="9"/>
  <c r="N84" i="9"/>
  <c r="O43" i="9" s="1"/>
  <c r="O23" i="9"/>
  <c r="M26" i="10"/>
  <c r="M90" i="10"/>
  <c r="O118" i="9"/>
  <c r="O27" i="9"/>
  <c r="P78" i="9" s="1"/>
  <c r="M121" i="8"/>
  <c r="N125" i="8" s="1"/>
  <c r="O127" i="8" s="1"/>
  <c r="N23" i="8"/>
  <c r="N3" i="9"/>
  <c r="O66" i="9" s="1"/>
  <c r="N29" i="8"/>
  <c r="O79" i="8" s="1"/>
  <c r="P104" i="8" s="1"/>
  <c r="M94" i="9"/>
  <c r="N48" i="9" s="1"/>
  <c r="M30" i="9"/>
  <c r="N16" i="9" s="1"/>
  <c r="O63" i="8"/>
  <c r="O44" i="8"/>
  <c r="M90" i="9"/>
  <c r="N66" i="9"/>
  <c r="O34" i="9" s="1"/>
  <c r="N4" i="8"/>
  <c r="O16" i="8"/>
  <c r="N33" i="8"/>
  <c r="O81" i="8" s="1"/>
  <c r="N70" i="8"/>
  <c r="O36" i="8" s="1"/>
  <c r="O53" i="10"/>
  <c r="M25" i="8"/>
  <c r="M89" i="8"/>
  <c r="N104" i="8"/>
  <c r="O53" i="8" s="1"/>
  <c r="P91" i="8" s="1"/>
  <c r="O43" i="8"/>
  <c r="N74" i="7"/>
  <c r="M66" i="9"/>
  <c r="N34" i="9" s="1"/>
  <c r="O18" i="9" s="1"/>
  <c r="N120" i="7"/>
  <c r="N99" i="7"/>
  <c r="N52" i="8"/>
  <c r="O27" i="8" s="1"/>
  <c r="N13" i="7"/>
  <c r="N18" i="7"/>
  <c r="N5" i="8"/>
  <c r="O67" i="8" s="1"/>
  <c r="P98" i="8" s="1"/>
  <c r="N87" i="7"/>
  <c r="N54" i="7"/>
  <c r="O27" i="7"/>
  <c r="M54" i="7"/>
  <c r="N28" i="7" s="1"/>
  <c r="M44" i="6"/>
  <c r="N23" i="6" s="1"/>
  <c r="O42" i="6"/>
  <c r="M39" i="5"/>
  <c r="M103" i="5"/>
  <c r="N116" i="5" s="1"/>
  <c r="O59" i="5" s="1"/>
  <c r="P94" i="5" s="1"/>
  <c r="M57" i="7"/>
  <c r="N93" i="7" s="1"/>
  <c r="M57" i="6"/>
  <c r="P120" i="5"/>
  <c r="M83" i="7"/>
  <c r="N106" i="7" s="1"/>
  <c r="N31" i="6"/>
  <c r="N13" i="6"/>
  <c r="O71" i="6" s="1"/>
  <c r="P100" i="6" s="1"/>
  <c r="Q51" i="6" s="1"/>
  <c r="R51" i="6" s="1"/>
  <c r="N86" i="5"/>
  <c r="O44" i="5" s="1"/>
  <c r="P23" i="5" s="1"/>
  <c r="O15" i="6"/>
  <c r="N36" i="7"/>
  <c r="O19" i="7" s="1"/>
  <c r="M49" i="6"/>
  <c r="N89" i="6" s="1"/>
  <c r="M113" i="6"/>
  <c r="N121" i="6" s="1"/>
  <c r="O125" i="6" s="1"/>
  <c r="P127" i="6" s="1"/>
  <c r="M47" i="6"/>
  <c r="N37" i="6"/>
  <c r="O83" i="6" s="1"/>
  <c r="N41" i="5"/>
  <c r="O85" i="5" s="1"/>
  <c r="N96" i="6"/>
  <c r="N117" i="5"/>
  <c r="N18" i="6"/>
  <c r="O10" i="6" s="1"/>
  <c r="O51" i="5"/>
  <c r="P90" i="5" s="1"/>
  <c r="N59" i="7"/>
  <c r="O94" i="7" s="1"/>
  <c r="N67" i="6"/>
  <c r="O98" i="6" s="1"/>
  <c r="O67" i="7"/>
  <c r="N47" i="6"/>
  <c r="O88" i="6" s="1"/>
  <c r="P45" i="6" s="1"/>
  <c r="Q87" i="6" s="1"/>
  <c r="R87" i="6" s="1"/>
  <c r="N73" i="6"/>
  <c r="O101" i="6" s="1"/>
  <c r="P115" i="6" s="1"/>
  <c r="M26" i="5"/>
  <c r="N14" i="5" s="1"/>
  <c r="O8" i="5" s="1"/>
  <c r="O81" i="5"/>
  <c r="P105" i="5" s="1"/>
  <c r="M14" i="5"/>
  <c r="M20" i="5"/>
  <c r="O13" i="5"/>
  <c r="P71" i="5" s="1"/>
  <c r="N39" i="5"/>
  <c r="O84" i="5" s="1"/>
  <c r="P43" i="5" s="1"/>
  <c r="Q86" i="5" s="1"/>
  <c r="R86" i="5" s="1"/>
  <c r="N39" i="7"/>
  <c r="O84" i="7" s="1"/>
  <c r="O122" i="6"/>
  <c r="N21" i="5"/>
  <c r="O19" i="5"/>
  <c r="P74" i="5" s="1"/>
  <c r="M63" i="11"/>
  <c r="M127" i="11"/>
  <c r="N128" i="11" s="1"/>
  <c r="N89" i="11"/>
  <c r="O109" i="11" s="1"/>
  <c r="N60" i="11"/>
  <c r="O31" i="11" s="1"/>
  <c r="N118" i="10"/>
  <c r="O60" i="10" s="1"/>
  <c r="O114" i="11"/>
  <c r="O22" i="9"/>
  <c r="P12" i="9" s="1"/>
  <c r="O8" i="8"/>
  <c r="N49" i="9"/>
  <c r="O89" i="9" s="1"/>
  <c r="M41" i="10"/>
  <c r="M105" i="10"/>
  <c r="N117" i="10" s="1"/>
  <c r="O14" i="8"/>
  <c r="O19" i="8"/>
  <c r="P74" i="8" s="1"/>
  <c r="M84" i="7"/>
  <c r="N43" i="7" s="1"/>
  <c r="M20" i="7"/>
  <c r="N11" i="7" s="1"/>
  <c r="O70" i="7" s="1"/>
  <c r="M120" i="7"/>
  <c r="N61" i="7" s="1"/>
  <c r="O95" i="7" s="1"/>
  <c r="P112" i="7" s="1"/>
  <c r="M129" i="6"/>
  <c r="N129" i="6" s="1"/>
  <c r="M65" i="6"/>
  <c r="N97" i="6" s="1"/>
  <c r="O113" i="6" s="1"/>
  <c r="O103" i="6"/>
  <c r="P116" i="6" s="1"/>
  <c r="O89" i="5"/>
  <c r="P109" i="5" s="1"/>
  <c r="O128" i="5"/>
  <c r="P65" i="5" s="1"/>
  <c r="P117" i="6"/>
  <c r="Q123" i="6" s="1"/>
  <c r="R123" i="6" s="1"/>
  <c r="O32" i="5"/>
  <c r="P106" i="5"/>
  <c r="O41" i="6"/>
  <c r="P85" i="6" s="1"/>
  <c r="Q107" i="6" s="1"/>
  <c r="R107" i="6" s="1"/>
  <c r="O54" i="5"/>
  <c r="Q69" i="5"/>
  <c r="R69" i="5" s="1"/>
  <c r="P72" i="5"/>
  <c r="Q37" i="5" s="1"/>
  <c r="R37" i="5" s="1"/>
  <c r="P3" i="6"/>
  <c r="N7" i="7"/>
  <c r="O10" i="5"/>
  <c r="P92" i="6"/>
  <c r="N85" i="11"/>
  <c r="O107" i="11" s="1"/>
  <c r="P118" i="11" s="1"/>
  <c r="O102" i="11"/>
  <c r="M72" i="11"/>
  <c r="N37" i="11" s="1"/>
  <c r="O83" i="11" s="1"/>
  <c r="P106" i="11" s="1"/>
  <c r="M8" i="11"/>
  <c r="N5" i="11" s="1"/>
  <c r="O48" i="11"/>
  <c r="N101" i="11"/>
  <c r="O115" i="11" s="1"/>
  <c r="P122" i="11" s="1"/>
  <c r="N58" i="10"/>
  <c r="O30" i="10" s="1"/>
  <c r="O82" i="11"/>
  <c r="N50" i="10"/>
  <c r="O26" i="10" s="1"/>
  <c r="P14" i="10" s="1"/>
  <c r="N89" i="10"/>
  <c r="N70" i="10"/>
  <c r="N42" i="10"/>
  <c r="O22" i="10" s="1"/>
  <c r="N98" i="11"/>
  <c r="O50" i="11" s="1"/>
  <c r="O82" i="10"/>
  <c r="P42" i="10" s="1"/>
  <c r="N50" i="11"/>
  <c r="O26" i="11" s="1"/>
  <c r="P14" i="11" s="1"/>
  <c r="M35" i="9"/>
  <c r="N60" i="10"/>
  <c r="M113" i="11"/>
  <c r="N121" i="11" s="1"/>
  <c r="O125" i="11" s="1"/>
  <c r="P127" i="11" s="1"/>
  <c r="N87" i="11"/>
  <c r="O108" i="11" s="1"/>
  <c r="P55" i="11" s="1"/>
  <c r="O128" i="11"/>
  <c r="N42" i="11"/>
  <c r="M111" i="11"/>
  <c r="N120" i="11" s="1"/>
  <c r="M40" i="11"/>
  <c r="N21" i="11" s="1"/>
  <c r="O75" i="11" s="1"/>
  <c r="M104" i="11"/>
  <c r="N53" i="11" s="1"/>
  <c r="N16" i="11"/>
  <c r="M105" i="11"/>
  <c r="O57" i="11"/>
  <c r="P93" i="11" s="1"/>
  <c r="O55" i="11"/>
  <c r="P92" i="11" s="1"/>
  <c r="Q47" i="11" s="1"/>
  <c r="R47" i="11" s="1"/>
  <c r="N66" i="11"/>
  <c r="O34" i="11" s="1"/>
  <c r="N121" i="10"/>
  <c r="N129" i="10"/>
  <c r="O129" i="10" s="1"/>
  <c r="P129" i="10" s="1"/>
  <c r="N94" i="10"/>
  <c r="N48" i="11"/>
  <c r="O25" i="11" s="1"/>
  <c r="P77" i="11" s="1"/>
  <c r="O29" i="10"/>
  <c r="M43" i="10"/>
  <c r="N86" i="10" s="1"/>
  <c r="O44" i="10" s="1"/>
  <c r="N74" i="10"/>
  <c r="N116" i="10"/>
  <c r="O59" i="10" s="1"/>
  <c r="N60" i="9"/>
  <c r="O31" i="9" s="1"/>
  <c r="O33" i="10"/>
  <c r="N23" i="10"/>
  <c r="M34" i="10"/>
  <c r="M46" i="10"/>
  <c r="P50" i="10"/>
  <c r="M97" i="9"/>
  <c r="N113" i="9" s="1"/>
  <c r="O118" i="10"/>
  <c r="N5" i="10"/>
  <c r="O67" i="10" s="1"/>
  <c r="P98" i="10" s="1"/>
  <c r="N10" i="9"/>
  <c r="N9" i="9"/>
  <c r="O51" i="10"/>
  <c r="O85" i="10"/>
  <c r="P107" i="10" s="1"/>
  <c r="M6" i="9"/>
  <c r="M70" i="9"/>
  <c r="N36" i="9" s="1"/>
  <c r="M85" i="8"/>
  <c r="N107" i="8" s="1"/>
  <c r="O118" i="8" s="1"/>
  <c r="M21" i="8"/>
  <c r="N75" i="8" s="1"/>
  <c r="O102" i="8" s="1"/>
  <c r="N108" i="9"/>
  <c r="N47" i="9"/>
  <c r="N116" i="9"/>
  <c r="O59" i="9" s="1"/>
  <c r="P94" i="9" s="1"/>
  <c r="M122" i="9"/>
  <c r="N62" i="9" s="1"/>
  <c r="M58" i="9"/>
  <c r="N30" i="9" s="1"/>
  <c r="M97" i="8"/>
  <c r="N113" i="8" s="1"/>
  <c r="M33" i="8"/>
  <c r="N122" i="8"/>
  <c r="M126" i="9"/>
  <c r="N64" i="9" s="1"/>
  <c r="O33" i="9" s="1"/>
  <c r="M62" i="9"/>
  <c r="O47" i="8"/>
  <c r="P88" i="8" s="1"/>
  <c r="N22" i="8"/>
  <c r="O12" i="8" s="1"/>
  <c r="N54" i="9"/>
  <c r="O28" i="9" s="1"/>
  <c r="M117" i="8"/>
  <c r="N123" i="8" s="1"/>
  <c r="O126" i="8" s="1"/>
  <c r="P64" i="8" s="1"/>
  <c r="M48" i="8"/>
  <c r="N25" i="8" s="1"/>
  <c r="N20" i="8"/>
  <c r="O11" i="8" s="1"/>
  <c r="N21" i="9"/>
  <c r="O75" i="9" s="1"/>
  <c r="M60" i="8"/>
  <c r="N31" i="8" s="1"/>
  <c r="O80" i="8" s="1"/>
  <c r="P41" i="8" s="1"/>
  <c r="O116" i="8"/>
  <c r="N115" i="8"/>
  <c r="N99" i="10"/>
  <c r="O114" i="10" s="1"/>
  <c r="P58" i="10" s="1"/>
  <c r="M34" i="9"/>
  <c r="N18" i="9" s="1"/>
  <c r="O10" i="9" s="1"/>
  <c r="M99" i="8"/>
  <c r="N114" i="8" s="1"/>
  <c r="O58" i="8" s="1"/>
  <c r="P30" i="8" s="1"/>
  <c r="N37" i="8"/>
  <c r="O83" i="8" s="1"/>
  <c r="P106" i="8" s="1"/>
  <c r="Q54" i="8" s="1"/>
  <c r="R54" i="8" s="1"/>
  <c r="O2" i="8"/>
  <c r="N4" i="11"/>
  <c r="O3" i="11" s="1"/>
  <c r="P66" i="11" s="1"/>
  <c r="N38" i="9"/>
  <c r="O20" i="9" s="1"/>
  <c r="N80" i="8"/>
  <c r="N128" i="7"/>
  <c r="O65" i="7" s="1"/>
  <c r="M81" i="7"/>
  <c r="M17" i="7"/>
  <c r="N73" i="7" s="1"/>
  <c r="O101" i="7" s="1"/>
  <c r="M108" i="8"/>
  <c r="N55" i="8" s="1"/>
  <c r="O92" i="8" s="1"/>
  <c r="P47" i="8" s="1"/>
  <c r="N88" i="7"/>
  <c r="O45" i="7" s="1"/>
  <c r="N24" i="7"/>
  <c r="O13" i="7" s="1"/>
  <c r="N98" i="7"/>
  <c r="O50" i="7" s="1"/>
  <c r="P26" i="7" s="1"/>
  <c r="N92" i="7"/>
  <c r="O47" i="7" s="1"/>
  <c r="N128" i="8"/>
  <c r="O65" i="8" s="1"/>
  <c r="M108" i="7"/>
  <c r="M42" i="7"/>
  <c r="N22" i="7" s="1"/>
  <c r="O12" i="7" s="1"/>
  <c r="P7" i="7" s="1"/>
  <c r="O98" i="7"/>
  <c r="O93" i="7"/>
  <c r="M53" i="6"/>
  <c r="N91" i="6" s="1"/>
  <c r="O110" i="6" s="1"/>
  <c r="N43" i="6"/>
  <c r="O86" i="6" s="1"/>
  <c r="P44" i="6" s="1"/>
  <c r="N34" i="6"/>
  <c r="O18" i="6" s="1"/>
  <c r="N115" i="5"/>
  <c r="O122" i="5" s="1"/>
  <c r="N122" i="7"/>
  <c r="O62" i="7" s="1"/>
  <c r="N25" i="6"/>
  <c r="O94" i="5"/>
  <c r="O14" i="7"/>
  <c r="O25" i="6"/>
  <c r="O84" i="6"/>
  <c r="P43" i="6" s="1"/>
  <c r="N121" i="5"/>
  <c r="O125" i="5" s="1"/>
  <c r="P127" i="5" s="1"/>
  <c r="N74" i="5"/>
  <c r="N10" i="5"/>
  <c r="O74" i="6"/>
  <c r="N74" i="8"/>
  <c r="N10" i="8"/>
  <c r="N124" i="7"/>
  <c r="M99" i="7"/>
  <c r="N114" i="7" s="1"/>
  <c r="M56" i="6"/>
  <c r="N29" i="6" s="1"/>
  <c r="O79" i="6" s="1"/>
  <c r="O24" i="6"/>
  <c r="P13" i="6" s="1"/>
  <c r="O57" i="5"/>
  <c r="O116" i="5"/>
  <c r="P59" i="5" s="1"/>
  <c r="Q94" i="5" s="1"/>
  <c r="R94" i="5" s="1"/>
  <c r="O56" i="6"/>
  <c r="P29" i="6" s="1"/>
  <c r="Q79" i="6" s="1"/>
  <c r="R79" i="6" s="1"/>
  <c r="N90" i="5"/>
  <c r="O46" i="5" s="1"/>
  <c r="P24" i="5" s="1"/>
  <c r="O31" i="6"/>
  <c r="P80" i="6" s="1"/>
  <c r="N129" i="5"/>
  <c r="O129" i="5" s="1"/>
  <c r="N65" i="5"/>
  <c r="N110" i="5"/>
  <c r="N37" i="7"/>
  <c r="N117" i="6"/>
  <c r="O123" i="6" s="1"/>
  <c r="P126" i="6" s="1"/>
  <c r="Q64" i="6" s="1"/>
  <c r="R64" i="6" s="1"/>
  <c r="P21" i="6"/>
  <c r="N95" i="5"/>
  <c r="O112" i="5" s="1"/>
  <c r="N69" i="7"/>
  <c r="O99" i="7" s="1"/>
  <c r="P114" i="7" s="1"/>
  <c r="P91" i="6"/>
  <c r="Q110" i="6" s="1"/>
  <c r="R110" i="6" s="1"/>
  <c r="O109" i="5"/>
  <c r="N50" i="6"/>
  <c r="O26" i="6" s="1"/>
  <c r="O100" i="5"/>
  <c r="P52" i="6"/>
  <c r="Q27" i="6" s="1"/>
  <c r="R27" i="6" s="1"/>
  <c r="N123" i="5"/>
  <c r="N2" i="7"/>
  <c r="O2" i="7" s="1"/>
  <c r="P2" i="7" s="1"/>
  <c r="N106" i="6"/>
  <c r="O54" i="6" s="1"/>
  <c r="P28" i="6" s="1"/>
  <c r="O99" i="5"/>
  <c r="P114" i="5" s="1"/>
  <c r="N4" i="5"/>
  <c r="O3" i="5" s="1"/>
  <c r="P66" i="5" s="1"/>
  <c r="P52" i="8" l="1"/>
  <c r="N46" i="9"/>
  <c r="O24" i="9" s="1"/>
  <c r="P13" i="9" s="1"/>
  <c r="Q71" i="9" s="1"/>
  <c r="R71" i="9" s="1"/>
  <c r="N110" i="9"/>
  <c r="N17" i="5"/>
  <c r="N81" i="5"/>
  <c r="O105" i="5" s="1"/>
  <c r="Q34" i="11"/>
  <c r="R34" i="11" s="1"/>
  <c r="O122" i="8"/>
  <c r="P62" i="8" s="1"/>
  <c r="O61" i="11"/>
  <c r="Q97" i="5"/>
  <c r="R97" i="5" s="1"/>
  <c r="N119" i="8"/>
  <c r="O65" i="11"/>
  <c r="P48" i="7"/>
  <c r="P74" i="7"/>
  <c r="O9" i="9"/>
  <c r="N46" i="10"/>
  <c r="O24" i="10" s="1"/>
  <c r="N110" i="10"/>
  <c r="N65" i="6"/>
  <c r="P94" i="8"/>
  <c r="O106" i="8"/>
  <c r="P124" i="6"/>
  <c r="Q63" i="6" s="1"/>
  <c r="R63" i="6" s="1"/>
  <c r="P12" i="6"/>
  <c r="Q7" i="6" s="1"/>
  <c r="R7" i="6" s="1"/>
  <c r="N48" i="7"/>
  <c r="N112" i="7"/>
  <c r="P99" i="10"/>
  <c r="Q114" i="10" s="1"/>
  <c r="R114" i="10" s="1"/>
  <c r="P51" i="10"/>
  <c r="Q90" i="10" s="1"/>
  <c r="R90" i="10" s="1"/>
  <c r="O93" i="9"/>
  <c r="P111" i="9" s="1"/>
  <c r="O44" i="11"/>
  <c r="P63" i="11"/>
  <c r="P113" i="8"/>
  <c r="O62" i="9"/>
  <c r="P32" i="9" s="1"/>
  <c r="N102" i="11"/>
  <c r="O52" i="11" s="1"/>
  <c r="P27" i="11" s="1"/>
  <c r="N38" i="11"/>
  <c r="P78" i="11"/>
  <c r="O77" i="7"/>
  <c r="Q15" i="6"/>
  <c r="R15" i="6" s="1"/>
  <c r="O97" i="5"/>
  <c r="P113" i="5" s="1"/>
  <c r="Q121" i="5" s="1"/>
  <c r="R121" i="5" s="1"/>
  <c r="O33" i="5"/>
  <c r="P81" i="5" s="1"/>
  <c r="P111" i="7"/>
  <c r="P2" i="8"/>
  <c r="O62" i="8"/>
  <c r="P32" i="8" s="1"/>
  <c r="Q17" i="8" s="1"/>
  <c r="R17" i="8" s="1"/>
  <c r="O69" i="9"/>
  <c r="O5" i="9"/>
  <c r="N24" i="10"/>
  <c r="N88" i="10"/>
  <c r="O45" i="10" s="1"/>
  <c r="P87" i="10" s="1"/>
  <c r="P94" i="10"/>
  <c r="Q48" i="10" s="1"/>
  <c r="R48" i="10" s="1"/>
  <c r="Q111" i="11"/>
  <c r="R111" i="11" s="1"/>
  <c r="O22" i="11"/>
  <c r="O86" i="11"/>
  <c r="P42" i="11"/>
  <c r="N19" i="7"/>
  <c r="O74" i="7" s="1"/>
  <c r="P38" i="7" s="1"/>
  <c r="O108" i="5"/>
  <c r="P55" i="5" s="1"/>
  <c r="P66" i="7"/>
  <c r="N21" i="7"/>
  <c r="O75" i="7" s="1"/>
  <c r="O123" i="10"/>
  <c r="P126" i="10" s="1"/>
  <c r="Q64" i="10" s="1"/>
  <c r="R64" i="10" s="1"/>
  <c r="O58" i="10"/>
  <c r="P30" i="10" s="1"/>
  <c r="N96" i="11"/>
  <c r="N32" i="11"/>
  <c r="O17" i="11" s="1"/>
  <c r="Q122" i="6"/>
  <c r="R122" i="6" s="1"/>
  <c r="Q46" i="5"/>
  <c r="R46" i="5" s="1"/>
  <c r="N84" i="5"/>
  <c r="N20" i="5"/>
  <c r="O11" i="5" s="1"/>
  <c r="P70" i="5" s="1"/>
  <c r="Q36" i="5" s="1"/>
  <c r="R36" i="5" s="1"/>
  <c r="O15" i="7"/>
  <c r="P72" i="7" s="1"/>
  <c r="O30" i="7"/>
  <c r="O38" i="7"/>
  <c r="P20" i="7" s="1"/>
  <c r="N109" i="8"/>
  <c r="O3" i="8"/>
  <c r="P66" i="8" s="1"/>
  <c r="O25" i="9"/>
  <c r="O76" i="8"/>
  <c r="N14" i="10"/>
  <c r="O8" i="10" s="1"/>
  <c r="N78" i="10"/>
  <c r="N26" i="9"/>
  <c r="N90" i="9"/>
  <c r="O46" i="9" s="1"/>
  <c r="P24" i="9" s="1"/>
  <c r="P29" i="11"/>
  <c r="P18" i="7"/>
  <c r="P109" i="6"/>
  <c r="N33" i="6"/>
  <c r="O61" i="6"/>
  <c r="P95" i="6" s="1"/>
  <c r="N29" i="7"/>
  <c r="O79" i="7" s="1"/>
  <c r="P75" i="8"/>
  <c r="Q102" i="8" s="1"/>
  <c r="R102" i="8" s="1"/>
  <c r="P10" i="5"/>
  <c r="O19" i="6"/>
  <c r="P74" i="6" s="1"/>
  <c r="Q38" i="6" s="1"/>
  <c r="R38" i="6" s="1"/>
  <c r="P11" i="6"/>
  <c r="P75" i="6"/>
  <c r="N62" i="6"/>
  <c r="O32" i="6" s="1"/>
  <c r="N126" i="6"/>
  <c r="O64" i="6" s="1"/>
  <c r="O11" i="7"/>
  <c r="O127" i="6"/>
  <c r="P128" i="6" s="1"/>
  <c r="O63" i="6"/>
  <c r="P96" i="6" s="1"/>
  <c r="Q49" i="6" s="1"/>
  <c r="R49" i="6" s="1"/>
  <c r="O23" i="8"/>
  <c r="O17" i="8"/>
  <c r="P73" i="8" s="1"/>
  <c r="O39" i="10"/>
  <c r="O5" i="10"/>
  <c r="O37" i="7"/>
  <c r="O64" i="8"/>
  <c r="P33" i="8" s="1"/>
  <c r="P108" i="9"/>
  <c r="O43" i="11"/>
  <c r="N115" i="7"/>
  <c r="O122" i="7" s="1"/>
  <c r="O46" i="10"/>
  <c r="P24" i="10" s="1"/>
  <c r="O32" i="7"/>
  <c r="P17" i="7" s="1"/>
  <c r="O67" i="5"/>
  <c r="P98" i="5" s="1"/>
  <c r="O23" i="7"/>
  <c r="N21" i="6"/>
  <c r="N85" i="6"/>
  <c r="O107" i="6" s="1"/>
  <c r="P118" i="6" s="1"/>
  <c r="O26" i="5"/>
  <c r="O116" i="7"/>
  <c r="N75" i="7"/>
  <c r="O102" i="7" s="1"/>
  <c r="O21" i="7"/>
  <c r="P42" i="8"/>
  <c r="Q22" i="8" s="1"/>
  <c r="R22" i="8" s="1"/>
  <c r="P90" i="8"/>
  <c r="Q46" i="8" s="1"/>
  <c r="R46" i="8" s="1"/>
  <c r="O91" i="8"/>
  <c r="N49" i="8"/>
  <c r="O89" i="8" s="1"/>
  <c r="N49" i="10"/>
  <c r="N113" i="10"/>
  <c r="O94" i="10"/>
  <c r="P48" i="10" s="1"/>
  <c r="O3" i="10"/>
  <c r="O79" i="10"/>
  <c r="P104" i="10" s="1"/>
  <c r="N31" i="10"/>
  <c r="N95" i="10"/>
  <c r="O112" i="10" s="1"/>
  <c r="P57" i="10" s="1"/>
  <c r="Q93" i="10" s="1"/>
  <c r="R93" i="10" s="1"/>
  <c r="O77" i="11"/>
  <c r="O42" i="5"/>
  <c r="Q126" i="6"/>
  <c r="R126" i="6" s="1"/>
  <c r="N109" i="7"/>
  <c r="O119" i="7" s="1"/>
  <c r="N45" i="7"/>
  <c r="O87" i="7" s="1"/>
  <c r="O37" i="6"/>
  <c r="P83" i="6" s="1"/>
  <c r="O55" i="5"/>
  <c r="P92" i="5" s="1"/>
  <c r="O109" i="7"/>
  <c r="N31" i="7"/>
  <c r="N95" i="7"/>
  <c r="O112" i="7" s="1"/>
  <c r="P57" i="7" s="1"/>
  <c r="Q118" i="8"/>
  <c r="R118" i="8" s="1"/>
  <c r="O50" i="10"/>
  <c r="P26" i="10" s="1"/>
  <c r="Q14" i="10" s="1"/>
  <c r="R14" i="10" s="1"/>
  <c r="O14" i="10"/>
  <c r="P8" i="10" s="1"/>
  <c r="N70" i="11"/>
  <c r="N6" i="11"/>
  <c r="O4" i="11" s="1"/>
  <c r="N56" i="9"/>
  <c r="O29" i="9" s="1"/>
  <c r="P79" i="9" s="1"/>
  <c r="Q104" i="9" s="1"/>
  <c r="R104" i="9" s="1"/>
  <c r="Q71" i="6"/>
  <c r="R71" i="6" s="1"/>
  <c r="N18" i="10"/>
  <c r="N82" i="10"/>
  <c r="O42" i="10" s="1"/>
  <c r="Q38" i="8"/>
  <c r="R38" i="8" s="1"/>
  <c r="N8" i="5"/>
  <c r="N72" i="5"/>
  <c r="N88" i="6"/>
  <c r="O45" i="6" s="1"/>
  <c r="N24" i="6"/>
  <c r="O13" i="6" s="1"/>
  <c r="P71" i="6" s="1"/>
  <c r="P22" i="6"/>
  <c r="Q12" i="6" s="1"/>
  <c r="R12" i="6" s="1"/>
  <c r="O63" i="7"/>
  <c r="P96" i="7" s="1"/>
  <c r="N4" i="9"/>
  <c r="O3" i="9" s="1"/>
  <c r="N68" i="9"/>
  <c r="O35" i="9" s="1"/>
  <c r="P82" i="9" s="1"/>
  <c r="Q26" i="10"/>
  <c r="R26" i="10" s="1"/>
  <c r="Q54" i="5"/>
  <c r="R54" i="5" s="1"/>
  <c r="O129" i="6"/>
  <c r="P129" i="6" s="1"/>
  <c r="Q129" i="6" s="1"/>
  <c r="R129" i="6" s="1"/>
  <c r="P58" i="11"/>
  <c r="P107" i="5"/>
  <c r="Q118" i="5" s="1"/>
  <c r="R118" i="5" s="1"/>
  <c r="P10" i="9"/>
  <c r="P9" i="8"/>
  <c r="P91" i="11"/>
  <c r="P24" i="8"/>
  <c r="Q13" i="8" s="1"/>
  <c r="R13" i="8" s="1"/>
  <c r="P78" i="10"/>
  <c r="N27" i="11"/>
  <c r="O78" i="11" s="1"/>
  <c r="N91" i="11"/>
  <c r="Q95" i="6"/>
  <c r="R95" i="6" s="1"/>
  <c r="N125" i="7"/>
  <c r="O127" i="7" s="1"/>
  <c r="O67" i="9"/>
  <c r="P98" i="9" s="1"/>
  <c r="P111" i="8"/>
  <c r="O95" i="9"/>
  <c r="O116" i="11"/>
  <c r="O117" i="11"/>
  <c r="P123" i="11" s="1"/>
  <c r="Q126" i="11" s="1"/>
  <c r="R126" i="11" s="1"/>
  <c r="P30" i="5"/>
  <c r="O126" i="7"/>
  <c r="P64" i="7" s="1"/>
  <c r="P30" i="9"/>
  <c r="O11" i="10"/>
  <c r="O90" i="10"/>
  <c r="P46" i="10" s="1"/>
  <c r="N93" i="11"/>
  <c r="O111" i="11" s="1"/>
  <c r="N29" i="11"/>
  <c r="O79" i="11" s="1"/>
  <c r="P104" i="11" s="1"/>
  <c r="N19" i="11"/>
  <c r="O74" i="11" s="1"/>
  <c r="P38" i="11" s="1"/>
  <c r="P110" i="6"/>
  <c r="Q56" i="6" s="1"/>
  <c r="R56" i="6" s="1"/>
  <c r="O43" i="7"/>
  <c r="P86" i="7" s="1"/>
  <c r="O48" i="7"/>
  <c r="P25" i="7" s="1"/>
  <c r="P14" i="9"/>
  <c r="N56" i="11"/>
  <c r="Q115" i="6"/>
  <c r="R115" i="6" s="1"/>
  <c r="P54" i="7"/>
  <c r="P108" i="6"/>
  <c r="Q55" i="6" s="1"/>
  <c r="R55" i="6" s="1"/>
  <c r="O72" i="5"/>
  <c r="O123" i="9"/>
  <c r="P126" i="9" s="1"/>
  <c r="O51" i="9"/>
  <c r="P47" i="9"/>
  <c r="Q88" i="9" s="1"/>
  <c r="R88" i="9" s="1"/>
  <c r="N52" i="5"/>
  <c r="Q75" i="6"/>
  <c r="R75" i="6" s="1"/>
  <c r="P129" i="5"/>
  <c r="Q129" i="5" s="1"/>
  <c r="R129" i="5" s="1"/>
  <c r="O38" i="8"/>
  <c r="P77" i="6"/>
  <c r="Q103" i="6" s="1"/>
  <c r="R103" i="6" s="1"/>
  <c r="O24" i="5"/>
  <c r="P13" i="5" s="1"/>
  <c r="P50" i="7"/>
  <c r="N105" i="7"/>
  <c r="Q85" i="8"/>
  <c r="R85" i="8" s="1"/>
  <c r="P7" i="8"/>
  <c r="Q68" i="8" s="1"/>
  <c r="R68" i="8" s="1"/>
  <c r="N81" i="8"/>
  <c r="O105" i="8" s="1"/>
  <c r="P117" i="8" s="1"/>
  <c r="Q123" i="8" s="1"/>
  <c r="R123" i="8" s="1"/>
  <c r="N17" i="8"/>
  <c r="O73" i="8" s="1"/>
  <c r="P101" i="8" s="1"/>
  <c r="O55" i="9"/>
  <c r="P92" i="9" s="1"/>
  <c r="O119" i="9"/>
  <c r="P124" i="9" s="1"/>
  <c r="O6" i="9"/>
  <c r="O70" i="9"/>
  <c r="P36" i="9" s="1"/>
  <c r="O109" i="9"/>
  <c r="P119" i="9" s="1"/>
  <c r="O48" i="10"/>
  <c r="N117" i="11"/>
  <c r="N41" i="11"/>
  <c r="O85" i="11" s="1"/>
  <c r="P26" i="11"/>
  <c r="Q14" i="11" s="1"/>
  <c r="R14" i="11" s="1"/>
  <c r="O42" i="11"/>
  <c r="P22" i="11" s="1"/>
  <c r="P28" i="5"/>
  <c r="P17" i="5"/>
  <c r="O21" i="5"/>
  <c r="P75" i="5" s="1"/>
  <c r="Q102" i="5" s="1"/>
  <c r="R102" i="5" s="1"/>
  <c r="N85" i="10"/>
  <c r="P31" i="10"/>
  <c r="Q80" i="10" s="1"/>
  <c r="R80" i="10" s="1"/>
  <c r="N11" i="5"/>
  <c r="O70" i="5" s="1"/>
  <c r="N75" i="5"/>
  <c r="O102" i="5" s="1"/>
  <c r="O34" i="6"/>
  <c r="P87" i="5"/>
  <c r="O54" i="7"/>
  <c r="N111" i="5"/>
  <c r="O120" i="5" s="1"/>
  <c r="P61" i="5" s="1"/>
  <c r="Q95" i="5" s="1"/>
  <c r="R95" i="5" s="1"/>
  <c r="O71" i="7"/>
  <c r="P100" i="7" s="1"/>
  <c r="N77" i="8"/>
  <c r="O103" i="8" s="1"/>
  <c r="P116" i="8" s="1"/>
  <c r="P128" i="8"/>
  <c r="P76" i="9"/>
  <c r="O30" i="11"/>
  <c r="P16" i="11" s="1"/>
  <c r="O90" i="6"/>
  <c r="P46" i="6" s="1"/>
  <c r="P16" i="6"/>
  <c r="N86" i="7"/>
  <c r="O44" i="7" s="1"/>
  <c r="P23" i="7" s="1"/>
  <c r="P120" i="8"/>
  <c r="P26" i="5"/>
  <c r="N30" i="6"/>
  <c r="O16" i="6" s="1"/>
  <c r="N94" i="6"/>
  <c r="O49" i="5"/>
  <c r="O113" i="5"/>
  <c r="P121" i="5" s="1"/>
  <c r="Q125" i="5" s="1"/>
  <c r="R125" i="5" s="1"/>
  <c r="P27" i="8"/>
  <c r="Q78" i="8" s="1"/>
  <c r="R78" i="8" s="1"/>
  <c r="O20" i="7"/>
  <c r="P11" i="7" s="1"/>
  <c r="Q70" i="7" s="1"/>
  <c r="R70" i="7" s="1"/>
  <c r="N112" i="9"/>
  <c r="O57" i="9" s="1"/>
  <c r="O82" i="9"/>
  <c r="P42" i="9" s="1"/>
  <c r="N46" i="8"/>
  <c r="O24" i="8" s="1"/>
  <c r="N110" i="8"/>
  <c r="O56" i="8" s="1"/>
  <c r="P29" i="8" s="1"/>
  <c r="O117" i="8"/>
  <c r="P123" i="8" s="1"/>
  <c r="P40" i="10"/>
  <c r="N62" i="10"/>
  <c r="O95" i="11"/>
  <c r="P112" i="11" s="1"/>
  <c r="N117" i="7"/>
  <c r="N9" i="7"/>
  <c r="P34" i="8"/>
  <c r="P28" i="9"/>
  <c r="O6" i="11"/>
  <c r="P4" i="11" s="1"/>
  <c r="O70" i="11"/>
  <c r="P82" i="8"/>
  <c r="O66" i="7"/>
  <c r="P34" i="7" s="1"/>
  <c r="P2" i="5"/>
  <c r="P63" i="5"/>
  <c r="N73" i="5"/>
  <c r="O101" i="5" s="1"/>
  <c r="P115" i="5" s="1"/>
  <c r="Q122" i="5" s="1"/>
  <c r="R122" i="5" s="1"/>
  <c r="N9" i="5"/>
  <c r="O69" i="5" s="1"/>
  <c r="P127" i="9"/>
  <c r="Q128" i="9" s="1"/>
  <c r="R128" i="9" s="1"/>
  <c r="N64" i="6"/>
  <c r="O33" i="6" s="1"/>
  <c r="P81" i="6" s="1"/>
  <c r="Q105" i="6" s="1"/>
  <c r="R105" i="6" s="1"/>
  <c r="N128" i="6"/>
  <c r="O65" i="6" s="1"/>
  <c r="P97" i="6" s="1"/>
  <c r="O3" i="6"/>
  <c r="P66" i="6" s="1"/>
  <c r="O67" i="6"/>
  <c r="O86" i="5"/>
  <c r="N50" i="7"/>
  <c r="O26" i="7" s="1"/>
  <c r="P14" i="7" s="1"/>
  <c r="O8" i="7"/>
  <c r="O72" i="7"/>
  <c r="O55" i="7"/>
  <c r="P92" i="7" s="1"/>
  <c r="O4" i="8"/>
  <c r="P110" i="9"/>
  <c r="Q56" i="9" s="1"/>
  <c r="R56" i="9" s="1"/>
  <c r="O104" i="8"/>
  <c r="O9" i="8"/>
  <c r="P69" i="8" s="1"/>
  <c r="N17" i="10"/>
  <c r="N81" i="10"/>
  <c r="P100" i="9"/>
  <c r="Q51" i="9" s="1"/>
  <c r="R51" i="9" s="1"/>
  <c r="N24" i="9"/>
  <c r="O19" i="10"/>
  <c r="P74" i="10" s="1"/>
  <c r="Q38" i="10" s="1"/>
  <c r="R38" i="10" s="1"/>
  <c r="O98" i="11"/>
  <c r="P50" i="11" s="1"/>
  <c r="N115" i="11"/>
  <c r="O63" i="11"/>
  <c r="O96" i="6"/>
  <c r="Q46" i="6"/>
  <c r="R46" i="6" s="1"/>
  <c r="N78" i="5"/>
  <c r="O40" i="5" s="1"/>
  <c r="O117" i="9"/>
  <c r="P123" i="9" s="1"/>
  <c r="N107" i="7"/>
  <c r="O118" i="7" s="1"/>
  <c r="P60" i="7" s="1"/>
  <c r="O46" i="6"/>
  <c r="P24" i="6" s="1"/>
  <c r="Q101" i="5"/>
  <c r="R101" i="5" s="1"/>
  <c r="N110" i="7"/>
  <c r="N63" i="7"/>
  <c r="O96" i="7" s="1"/>
  <c r="N127" i="7"/>
  <c r="O128" i="7" s="1"/>
  <c r="P65" i="7" s="1"/>
  <c r="Q97" i="7" s="1"/>
  <c r="R97" i="7" s="1"/>
  <c r="N9" i="8"/>
  <c r="N73" i="8"/>
  <c r="O116" i="10"/>
  <c r="O52" i="10"/>
  <c r="P27" i="10" s="1"/>
  <c r="P17" i="11"/>
  <c r="Q73" i="11" s="1"/>
  <c r="R73" i="11" s="1"/>
  <c r="O37" i="10"/>
  <c r="P88" i="10"/>
  <c r="Q41" i="6"/>
  <c r="R41" i="6" s="1"/>
  <c r="O121" i="8"/>
  <c r="Q50" i="10"/>
  <c r="R50" i="10" s="1"/>
  <c r="O9" i="11"/>
  <c r="P69" i="11" s="1"/>
  <c r="O73" i="11"/>
  <c r="N7" i="11"/>
  <c r="N71" i="11"/>
  <c r="O100" i="11" s="1"/>
  <c r="P51" i="11" s="1"/>
  <c r="Q90" i="11" s="1"/>
  <c r="R90" i="11" s="1"/>
  <c r="P126" i="8"/>
  <c r="P50" i="5"/>
  <c r="Q6" i="7"/>
  <c r="R6" i="7" s="1"/>
  <c r="O129" i="7"/>
  <c r="Q115" i="9"/>
  <c r="R115" i="9" s="1"/>
  <c r="O97" i="9"/>
  <c r="P65" i="10"/>
  <c r="O15" i="11"/>
  <c r="P72" i="11" s="1"/>
  <c r="P106" i="9"/>
  <c r="O88" i="10"/>
  <c r="P28" i="11"/>
  <c r="Q15" i="11" s="1"/>
  <c r="R15" i="11" s="1"/>
  <c r="N59" i="8"/>
  <c r="N76" i="5"/>
  <c r="O39" i="5" s="1"/>
  <c r="N12" i="5"/>
  <c r="O7" i="5" s="1"/>
  <c r="P7" i="6"/>
  <c r="O28" i="8"/>
  <c r="P15" i="8" s="1"/>
  <c r="Q4" i="8"/>
  <c r="R4" i="8" s="1"/>
  <c r="N48" i="8"/>
  <c r="N112" i="8"/>
  <c r="O57" i="8" s="1"/>
  <c r="P88" i="9"/>
  <c r="O64" i="10"/>
  <c r="P54" i="11"/>
  <c r="Q28" i="11" s="1"/>
  <c r="R28" i="11" s="1"/>
  <c r="O128" i="6"/>
  <c r="P45" i="5"/>
  <c r="O114" i="8"/>
  <c r="P58" i="8" s="1"/>
  <c r="P99" i="6"/>
  <c r="P22" i="7"/>
  <c r="Q12" i="7" s="1"/>
  <c r="R12" i="7" s="1"/>
  <c r="Q86" i="8"/>
  <c r="R86" i="8" s="1"/>
  <c r="P87" i="9"/>
  <c r="P110" i="10"/>
  <c r="O31" i="8"/>
  <c r="P72" i="10"/>
  <c r="O126" i="5"/>
  <c r="P64" i="5" s="1"/>
  <c r="Q33" i="5" s="1"/>
  <c r="R33" i="5" s="1"/>
  <c r="O62" i="5"/>
  <c r="O83" i="7"/>
  <c r="P104" i="6"/>
  <c r="P48" i="5"/>
  <c r="Q23" i="6"/>
  <c r="R23" i="6" s="1"/>
  <c r="N55" i="7"/>
  <c r="O92" i="7" s="1"/>
  <c r="P47" i="7" s="1"/>
  <c r="P71" i="7"/>
  <c r="O41" i="8"/>
  <c r="P85" i="8" s="1"/>
  <c r="P70" i="8"/>
  <c r="Q36" i="8" s="1"/>
  <c r="R36" i="8" s="1"/>
  <c r="N98" i="9"/>
  <c r="O35" i="11"/>
  <c r="P82" i="11" s="1"/>
  <c r="O76" i="10"/>
  <c r="P23" i="10"/>
  <c r="O125" i="10"/>
  <c r="P127" i="10" s="1"/>
  <c r="O91" i="11"/>
  <c r="N116" i="11"/>
  <c r="O59" i="11" s="1"/>
  <c r="O31" i="10"/>
  <c r="P80" i="10" s="1"/>
  <c r="O36" i="10"/>
  <c r="P19" i="10" s="1"/>
  <c r="Q74" i="10" s="1"/>
  <c r="R74" i="10" s="1"/>
  <c r="P90" i="7"/>
  <c r="Q59" i="6"/>
  <c r="R59" i="6" s="1"/>
  <c r="O129" i="8"/>
  <c r="P129" i="8" s="1"/>
  <c r="Q129" i="8" s="1"/>
  <c r="R129" i="8" s="1"/>
  <c r="P5" i="8"/>
  <c r="P20" i="11"/>
  <c r="Q11" i="11" s="1"/>
  <c r="R11" i="11" s="1"/>
  <c r="P62" i="6"/>
  <c r="Q32" i="6" s="1"/>
  <c r="R32" i="6" s="1"/>
  <c r="Q117" i="5"/>
  <c r="R117" i="5" s="1"/>
  <c r="P98" i="7"/>
  <c r="O123" i="5"/>
  <c r="P126" i="5" s="1"/>
  <c r="Q64" i="5" s="1"/>
  <c r="R64" i="5" s="1"/>
  <c r="Q128" i="6"/>
  <c r="R128" i="6" s="1"/>
  <c r="N93" i="6"/>
  <c r="O111" i="6" s="1"/>
  <c r="P120" i="6" s="1"/>
  <c r="O76" i="6"/>
  <c r="P39" i="6" s="1"/>
  <c r="O114" i="7"/>
  <c r="P58" i="7" s="1"/>
  <c r="O31" i="7"/>
  <c r="P80" i="7" s="1"/>
  <c r="O8" i="9"/>
  <c r="P5" i="9" s="1"/>
  <c r="N59" i="9"/>
  <c r="O94" i="9" s="1"/>
  <c r="P48" i="9" s="1"/>
  <c r="N94" i="9"/>
  <c r="P31" i="6"/>
  <c r="P64" i="6"/>
  <c r="N89" i="8"/>
  <c r="O107" i="9"/>
  <c r="O29" i="6"/>
  <c r="P79" i="6" s="1"/>
  <c r="N70" i="7"/>
  <c r="N6" i="7"/>
  <c r="O4" i="7" s="1"/>
  <c r="Q127" i="6"/>
  <c r="R127" i="6" s="1"/>
  <c r="O31" i="5"/>
  <c r="P111" i="5"/>
  <c r="P41" i="5"/>
  <c r="O75" i="8"/>
  <c r="N118" i="8"/>
  <c r="O60" i="8" s="1"/>
  <c r="P27" i="9"/>
  <c r="O86" i="10"/>
  <c r="O124" i="10"/>
  <c r="O14" i="11"/>
  <c r="N55" i="10"/>
  <c r="O92" i="10" s="1"/>
  <c r="P47" i="10" s="1"/>
  <c r="Q88" i="10" s="1"/>
  <c r="R88" i="10" s="1"/>
  <c r="O108" i="10"/>
  <c r="P55" i="10" s="1"/>
  <c r="O90" i="11"/>
  <c r="P46" i="11" s="1"/>
  <c r="O97" i="11"/>
  <c r="P113" i="11" s="1"/>
  <c r="Q121" i="11" s="1"/>
  <c r="R121" i="11" s="1"/>
  <c r="O19" i="11"/>
  <c r="P89" i="8"/>
  <c r="Q109" i="8" s="1"/>
  <c r="R109" i="8" s="1"/>
  <c r="O2" i="9"/>
  <c r="P2" i="9" s="1"/>
  <c r="O65" i="10"/>
  <c r="P97" i="10" s="1"/>
  <c r="N77" i="10"/>
  <c r="O103" i="10" s="1"/>
  <c r="N13" i="10"/>
  <c r="O71" i="10" s="1"/>
  <c r="O45" i="11"/>
  <c r="P87" i="11" s="1"/>
  <c r="P122" i="10"/>
  <c r="P13" i="11"/>
  <c r="P63" i="6"/>
  <c r="P54" i="6"/>
  <c r="P107" i="6"/>
  <c r="O48" i="5"/>
  <c r="P25" i="5" s="1"/>
  <c r="Q77" i="5" s="1"/>
  <c r="R77" i="5" s="1"/>
  <c r="N111" i="8"/>
  <c r="N47" i="8"/>
  <c r="O59" i="6"/>
  <c r="O15" i="8"/>
  <c r="P72" i="8" s="1"/>
  <c r="Q37" i="8" s="1"/>
  <c r="R37" i="8" s="1"/>
  <c r="N69" i="9"/>
  <c r="O61" i="8"/>
  <c r="P95" i="8" s="1"/>
  <c r="Q112" i="8" s="1"/>
  <c r="R112" i="8" s="1"/>
  <c r="P62" i="9"/>
  <c r="Q32" i="9" s="1"/>
  <c r="R32" i="9" s="1"/>
  <c r="N31" i="9"/>
  <c r="O80" i="9" s="1"/>
  <c r="N95" i="9"/>
  <c r="O112" i="9" s="1"/>
  <c r="P2" i="11"/>
  <c r="P106" i="10"/>
  <c r="Q54" i="10" s="1"/>
  <c r="R54" i="10" s="1"/>
  <c r="N75" i="10"/>
  <c r="O102" i="10" s="1"/>
  <c r="P52" i="10" s="1"/>
  <c r="N11" i="10"/>
  <c r="P45" i="11"/>
  <c r="P117" i="11"/>
  <c r="N97" i="11"/>
  <c r="O113" i="11" s="1"/>
  <c r="P122" i="5"/>
  <c r="Q62" i="5" s="1"/>
  <c r="R62" i="5" s="1"/>
  <c r="N45" i="5"/>
  <c r="O87" i="5" s="1"/>
  <c r="P108" i="5" s="1"/>
  <c r="Q55" i="5" s="1"/>
  <c r="R55" i="5" s="1"/>
  <c r="P36" i="6"/>
  <c r="O14" i="6"/>
  <c r="P8" i="6" s="1"/>
  <c r="P128" i="5"/>
  <c r="O43" i="6"/>
  <c r="P86" i="6" s="1"/>
  <c r="O27" i="6"/>
  <c r="P78" i="6" s="1"/>
  <c r="Q40" i="6" s="1"/>
  <c r="R40" i="6" s="1"/>
  <c r="O97" i="7"/>
  <c r="P113" i="7" s="1"/>
  <c r="Q121" i="7" s="1"/>
  <c r="R121" i="7" s="1"/>
  <c r="O33" i="8"/>
  <c r="N50" i="8"/>
  <c r="O26" i="8" s="1"/>
  <c r="P14" i="8" s="1"/>
  <c r="Q8" i="8" s="1"/>
  <c r="R8" i="8" s="1"/>
  <c r="O61" i="9"/>
  <c r="O21" i="11"/>
  <c r="O60" i="9"/>
  <c r="P31" i="9" s="1"/>
  <c r="Q80" i="9" s="1"/>
  <c r="R80" i="9" s="1"/>
  <c r="P125" i="11"/>
  <c r="Q127" i="11" s="1"/>
  <c r="R127" i="11" s="1"/>
  <c r="P119" i="5"/>
  <c r="P8" i="7"/>
  <c r="Q45" i="8"/>
  <c r="R45" i="8" s="1"/>
  <c r="Q62" i="11"/>
  <c r="R62" i="11" s="1"/>
  <c r="Q61" i="5"/>
  <c r="R61" i="5" s="1"/>
  <c r="Q82" i="10"/>
  <c r="R82" i="10" s="1"/>
  <c r="P77" i="5"/>
  <c r="Q14" i="8"/>
  <c r="R14" i="8" s="1"/>
  <c r="P123" i="5"/>
  <c r="Q96" i="9"/>
  <c r="R96" i="9" s="1"/>
  <c r="O76" i="7"/>
  <c r="P39" i="7" s="1"/>
  <c r="Q84" i="7" s="1"/>
  <c r="R84" i="7" s="1"/>
  <c r="N109" i="10"/>
  <c r="N45" i="10"/>
  <c r="P114" i="11"/>
  <c r="O46" i="7"/>
  <c r="P24" i="7" s="1"/>
  <c r="Q13" i="7" s="1"/>
  <c r="R13" i="7" s="1"/>
  <c r="O112" i="8"/>
  <c r="P37" i="9"/>
  <c r="Q83" i="9" s="1"/>
  <c r="R83" i="9" s="1"/>
  <c r="O11" i="9"/>
  <c r="P70" i="9" s="1"/>
  <c r="O47" i="11"/>
  <c r="P34" i="5"/>
  <c r="P70" i="11"/>
  <c r="O34" i="5"/>
  <c r="O38" i="5"/>
  <c r="P20" i="5" s="1"/>
  <c r="O77" i="6"/>
  <c r="P97" i="8"/>
  <c r="O77" i="8"/>
  <c r="P103" i="8" s="1"/>
  <c r="N96" i="9"/>
  <c r="N32" i="9"/>
  <c r="O17" i="9" s="1"/>
  <c r="O19" i="9"/>
  <c r="P74" i="9" s="1"/>
  <c r="N22" i="9"/>
  <c r="P102" i="11"/>
  <c r="N57" i="11"/>
  <c r="O93" i="11" s="1"/>
  <c r="P111" i="11" s="1"/>
  <c r="N82" i="9"/>
  <c r="O109" i="10"/>
  <c r="O67" i="11"/>
  <c r="P98" i="11" s="1"/>
  <c r="Q47" i="6"/>
  <c r="R47" i="6" s="1"/>
  <c r="N82" i="8"/>
  <c r="O42" i="8" s="1"/>
  <c r="P22" i="8" s="1"/>
  <c r="N11" i="8"/>
  <c r="O70" i="8" s="1"/>
  <c r="P36" i="8" s="1"/>
  <c r="P119" i="11"/>
  <c r="Q124" i="11" s="1"/>
  <c r="R124" i="11" s="1"/>
  <c r="P43" i="7"/>
  <c r="O82" i="6"/>
  <c r="P42" i="6" s="1"/>
  <c r="Q22" i="6" s="1"/>
  <c r="R22" i="6" s="1"/>
  <c r="P50" i="6"/>
  <c r="O49" i="6"/>
  <c r="O109" i="6"/>
  <c r="P119" i="6" s="1"/>
  <c r="Q124" i="6" s="1"/>
  <c r="R124" i="6" s="1"/>
  <c r="O61" i="5"/>
  <c r="O111" i="7"/>
  <c r="P120" i="7" s="1"/>
  <c r="O44" i="6"/>
  <c r="P23" i="6" s="1"/>
  <c r="O61" i="7"/>
  <c r="O125" i="7"/>
  <c r="P127" i="7" s="1"/>
  <c r="P10" i="8"/>
  <c r="Q6" i="8" s="1"/>
  <c r="R6" i="8" s="1"/>
  <c r="P105" i="8"/>
  <c r="Q117" i="8" s="1"/>
  <c r="R117" i="8" s="1"/>
  <c r="O108" i="9"/>
  <c r="P34" i="10"/>
  <c r="Q18" i="10" s="1"/>
  <c r="R18" i="10" s="1"/>
  <c r="N126" i="9"/>
  <c r="O64" i="9" s="1"/>
  <c r="Q107" i="11"/>
  <c r="R107" i="11" s="1"/>
  <c r="O41" i="5"/>
  <c r="P85" i="5" s="1"/>
  <c r="O20" i="5"/>
  <c r="O49" i="7"/>
  <c r="N80" i="9"/>
  <c r="O90" i="9"/>
  <c r="P46" i="9" s="1"/>
  <c r="P48" i="11"/>
  <c r="Q22" i="5"/>
  <c r="R22" i="5" s="1"/>
  <c r="P60" i="5"/>
  <c r="O47" i="6"/>
  <c r="Q43" i="6"/>
  <c r="R43" i="6" s="1"/>
  <c r="P51" i="6"/>
  <c r="Q90" i="6" s="1"/>
  <c r="R90" i="6" s="1"/>
  <c r="P27" i="5"/>
  <c r="Q78" i="5" s="1"/>
  <c r="R78" i="5" s="1"/>
  <c r="Q78" i="6"/>
  <c r="R78" i="6" s="1"/>
  <c r="O60" i="7"/>
  <c r="P31" i="7" s="1"/>
  <c r="N70" i="9"/>
  <c r="N6" i="9"/>
  <c r="N43" i="8"/>
  <c r="Q58" i="10"/>
  <c r="R58" i="10" s="1"/>
  <c r="O98" i="9"/>
  <c r="O72" i="10"/>
  <c r="O110" i="9"/>
  <c r="P10" i="10"/>
  <c r="Q6" i="10" s="1"/>
  <c r="R6" i="10" s="1"/>
  <c r="N22" i="11"/>
  <c r="O12" i="11" s="1"/>
  <c r="P7" i="11" s="1"/>
  <c r="Q75" i="11"/>
  <c r="R75" i="11" s="1"/>
  <c r="O101" i="11"/>
  <c r="O81" i="11"/>
  <c r="P40" i="8"/>
  <c r="Q21" i="8" s="1"/>
  <c r="R21" i="8" s="1"/>
  <c r="O54" i="8"/>
  <c r="O51" i="11"/>
  <c r="P90" i="11" s="1"/>
  <c r="Q46" i="11" s="1"/>
  <c r="R46" i="11" s="1"/>
  <c r="P43" i="10"/>
  <c r="Q86" i="10" s="1"/>
  <c r="R86" i="10" s="1"/>
  <c r="P128" i="11"/>
  <c r="Q65" i="11" s="1"/>
  <c r="R65" i="11" s="1"/>
  <c r="O74" i="9"/>
  <c r="P38" i="9" s="1"/>
  <c r="Q30" i="5"/>
  <c r="R30" i="5" s="1"/>
  <c r="P93" i="6"/>
  <c r="Q111" i="6" s="1"/>
  <c r="R111" i="6" s="1"/>
  <c r="Q91" i="6"/>
  <c r="R91" i="6" s="1"/>
  <c r="N42" i="7"/>
  <c r="O22" i="7" s="1"/>
  <c r="P12" i="7" s="1"/>
  <c r="P15" i="6"/>
  <c r="P33" i="5"/>
  <c r="O9" i="6"/>
  <c r="N57" i="6"/>
  <c r="O93" i="6" s="1"/>
  <c r="P111" i="6" s="1"/>
  <c r="N16" i="7"/>
  <c r="O9" i="7" s="1"/>
  <c r="P69" i="7" s="1"/>
  <c r="N80" i="7"/>
  <c r="Q102" i="10"/>
  <c r="R102" i="10" s="1"/>
  <c r="O81" i="7"/>
  <c r="P50" i="8"/>
  <c r="O84" i="9"/>
  <c r="P43" i="9" s="1"/>
  <c r="Q86" i="9" s="1"/>
  <c r="R86" i="9" s="1"/>
  <c r="N83" i="9"/>
  <c r="O106" i="9" s="1"/>
  <c r="P54" i="9" s="1"/>
  <c r="Q10" i="10"/>
  <c r="R10" i="10" s="1"/>
  <c r="N63" i="9"/>
  <c r="O96" i="9" s="1"/>
  <c r="P49" i="9" s="1"/>
  <c r="Q89" i="9" s="1"/>
  <c r="R89" i="9" s="1"/>
  <c r="N127" i="9"/>
  <c r="N128" i="9"/>
  <c r="N125" i="10"/>
  <c r="O10" i="11"/>
  <c r="P6" i="11" s="1"/>
  <c r="Q4" i="11" s="1"/>
  <c r="R4" i="11" s="1"/>
  <c r="O60" i="11"/>
  <c r="P31" i="11" s="1"/>
  <c r="O103" i="11"/>
  <c r="P116" i="11" s="1"/>
  <c r="Q59" i="11" s="1"/>
  <c r="R59" i="11" s="1"/>
  <c r="O89" i="11"/>
  <c r="P109" i="11" s="1"/>
  <c r="P15" i="5"/>
  <c r="P40" i="5"/>
  <c r="Q21" i="5" s="1"/>
  <c r="R21" i="5" s="1"/>
  <c r="P37" i="6"/>
  <c r="Q83" i="6" s="1"/>
  <c r="R83" i="6" s="1"/>
  <c r="P88" i="5"/>
  <c r="O6" i="7"/>
  <c r="P4" i="7" s="1"/>
  <c r="O7" i="6"/>
  <c r="P7" i="5"/>
  <c r="P112" i="6"/>
  <c r="O103" i="7"/>
  <c r="P116" i="7" s="1"/>
  <c r="O100" i="8"/>
  <c r="O74" i="8"/>
  <c r="P38" i="8" s="1"/>
  <c r="O21" i="9"/>
  <c r="P75" i="9" s="1"/>
  <c r="Q102" i="9" s="1"/>
  <c r="R102" i="9" s="1"/>
  <c r="P128" i="9"/>
  <c r="O5" i="11"/>
  <c r="P67" i="11" s="1"/>
  <c r="Q98" i="11" s="1"/>
  <c r="R98" i="11" s="1"/>
  <c r="N129" i="11"/>
  <c r="O129" i="11" s="1"/>
  <c r="P129" i="11" s="1"/>
  <c r="O106" i="10"/>
  <c r="N27" i="9"/>
  <c r="O78" i="9" s="1"/>
  <c r="P40" i="9" s="1"/>
  <c r="N123" i="11"/>
  <c r="O126" i="11" s="1"/>
  <c r="P64" i="11" s="1"/>
  <c r="P105" i="11" l="1"/>
  <c r="Q117" i="11" s="1"/>
  <c r="R117" i="11" s="1"/>
  <c r="P41" i="11"/>
  <c r="P56" i="7"/>
  <c r="Q29" i="7" s="1"/>
  <c r="R29" i="7" s="1"/>
  <c r="O109" i="8"/>
  <c r="O45" i="8"/>
  <c r="Q37" i="11"/>
  <c r="R37" i="11" s="1"/>
  <c r="O101" i="8"/>
  <c r="P115" i="8" s="1"/>
  <c r="O37" i="8"/>
  <c r="P70" i="10"/>
  <c r="O90" i="8"/>
  <c r="P46" i="8" s="1"/>
  <c r="O103" i="5"/>
  <c r="P116" i="5" s="1"/>
  <c r="O81" i="6"/>
  <c r="P105" i="6" s="1"/>
  <c r="Q117" i="6" s="1"/>
  <c r="R117" i="6" s="1"/>
  <c r="O17" i="6"/>
  <c r="P73" i="6" s="1"/>
  <c r="O40" i="10"/>
  <c r="O104" i="10"/>
  <c r="Q110" i="8"/>
  <c r="R110" i="8" s="1"/>
  <c r="P97" i="11"/>
  <c r="P33" i="11"/>
  <c r="P51" i="8"/>
  <c r="Q90" i="8" s="1"/>
  <c r="R90" i="8" s="1"/>
  <c r="O41" i="7"/>
  <c r="O105" i="7"/>
  <c r="P115" i="11"/>
  <c r="Q122" i="11" s="1"/>
  <c r="R122" i="11" s="1"/>
  <c r="O4" i="9"/>
  <c r="P3" i="9" s="1"/>
  <c r="Q66" i="9" s="1"/>
  <c r="R66" i="9" s="1"/>
  <c r="O68" i="9"/>
  <c r="P35" i="9" s="1"/>
  <c r="P95" i="5"/>
  <c r="P31" i="5"/>
  <c r="Q80" i="5" s="1"/>
  <c r="R80" i="5" s="1"/>
  <c r="Q129" i="11"/>
  <c r="R129" i="11" s="1"/>
  <c r="O36" i="9"/>
  <c r="O100" i="9"/>
  <c r="P100" i="8"/>
  <c r="Q51" i="8" s="1"/>
  <c r="R51" i="8" s="1"/>
  <c r="O32" i="9"/>
  <c r="O36" i="7"/>
  <c r="P19" i="7" s="1"/>
  <c r="Q74" i="7" s="1"/>
  <c r="R74" i="7" s="1"/>
  <c r="O100" i="7"/>
  <c r="Q128" i="10"/>
  <c r="R128" i="10" s="1"/>
  <c r="O16" i="9"/>
  <c r="P9" i="9" s="1"/>
  <c r="P106" i="7"/>
  <c r="P42" i="7"/>
  <c r="Q22" i="7" s="1"/>
  <c r="R22" i="7" s="1"/>
  <c r="P113" i="9"/>
  <c r="O105" i="10"/>
  <c r="P117" i="10" s="1"/>
  <c r="O41" i="10"/>
  <c r="P85" i="10" s="1"/>
  <c r="O32" i="10"/>
  <c r="O96" i="10"/>
  <c r="P4" i="9"/>
  <c r="Q3" i="9" s="1"/>
  <c r="R3" i="9" s="1"/>
  <c r="P68" i="9"/>
  <c r="Q57" i="6"/>
  <c r="R57" i="6" s="1"/>
  <c r="Q68" i="11"/>
  <c r="R68" i="11" s="1"/>
  <c r="O41" i="9"/>
  <c r="O105" i="9"/>
  <c r="P95" i="7"/>
  <c r="P73" i="9"/>
  <c r="P57" i="8"/>
  <c r="P121" i="8"/>
  <c r="Q125" i="8" s="1"/>
  <c r="R125" i="8" s="1"/>
  <c r="P94" i="6"/>
  <c r="Q48" i="6" s="1"/>
  <c r="R48" i="6" s="1"/>
  <c r="P30" i="6"/>
  <c r="Q16" i="6" s="1"/>
  <c r="R16" i="6" s="1"/>
  <c r="Q108" i="11"/>
  <c r="R108" i="11" s="1"/>
  <c r="P74" i="11"/>
  <c r="P10" i="11"/>
  <c r="P31" i="8"/>
  <c r="Q85" i="5"/>
  <c r="R85" i="5" s="1"/>
  <c r="P122" i="8"/>
  <c r="Q62" i="8" s="1"/>
  <c r="R62" i="8" s="1"/>
  <c r="Q57" i="7"/>
  <c r="R57" i="7" s="1"/>
  <c r="P49" i="7"/>
  <c r="Q89" i="7" s="1"/>
  <c r="R89" i="7" s="1"/>
  <c r="Q26" i="11"/>
  <c r="R26" i="11" s="1"/>
  <c r="O73" i="10"/>
  <c r="P101" i="10" s="1"/>
  <c r="O9" i="10"/>
  <c r="P69" i="10" s="1"/>
  <c r="P84" i="7"/>
  <c r="P18" i="9"/>
  <c r="Q53" i="11"/>
  <c r="R53" i="11" s="1"/>
  <c r="O110" i="11"/>
  <c r="P56" i="11" s="1"/>
  <c r="O46" i="11"/>
  <c r="P24" i="11" s="1"/>
  <c r="Q58" i="5"/>
  <c r="R58" i="5" s="1"/>
  <c r="P22" i="10"/>
  <c r="Q12" i="10" s="1"/>
  <c r="R12" i="10" s="1"/>
  <c r="O104" i="5"/>
  <c r="P53" i="5" s="1"/>
  <c r="P52" i="7"/>
  <c r="P76" i="7"/>
  <c r="O76" i="11"/>
  <c r="P39" i="11" s="1"/>
  <c r="Q84" i="11" s="1"/>
  <c r="R84" i="11" s="1"/>
  <c r="P44" i="11"/>
  <c r="Q23" i="11" s="1"/>
  <c r="R23" i="11" s="1"/>
  <c r="P108" i="11"/>
  <c r="Q55" i="11" s="1"/>
  <c r="R55" i="11" s="1"/>
  <c r="O6" i="8"/>
  <c r="Q120" i="9"/>
  <c r="R120" i="9" s="1"/>
  <c r="O25" i="7"/>
  <c r="O89" i="7"/>
  <c r="P54" i="8"/>
  <c r="P118" i="8"/>
  <c r="P32" i="6"/>
  <c r="O56" i="10"/>
  <c r="P29" i="10" s="1"/>
  <c r="O120" i="10"/>
  <c r="P90" i="10"/>
  <c r="O75" i="5"/>
  <c r="Q68" i="5"/>
  <c r="R68" i="5" s="1"/>
  <c r="O65" i="9"/>
  <c r="P97" i="9" s="1"/>
  <c r="O129" i="9"/>
  <c r="Q26" i="8"/>
  <c r="R26" i="8" s="1"/>
  <c r="Q120" i="6"/>
  <c r="R120" i="6" s="1"/>
  <c r="P28" i="8"/>
  <c r="Q15" i="8" s="1"/>
  <c r="R15" i="8" s="1"/>
  <c r="O86" i="8"/>
  <c r="O22" i="8"/>
  <c r="P12" i="8" s="1"/>
  <c r="Q31" i="5"/>
  <c r="R31" i="5" s="1"/>
  <c r="P89" i="7"/>
  <c r="P55" i="9"/>
  <c r="Q92" i="9" s="1"/>
  <c r="R92" i="9" s="1"/>
  <c r="Q26" i="6"/>
  <c r="R26" i="6" s="1"/>
  <c r="P36" i="7"/>
  <c r="P119" i="10"/>
  <c r="O49" i="9"/>
  <c r="O113" i="9"/>
  <c r="P121" i="9" s="1"/>
  <c r="P56" i="6"/>
  <c r="Q18" i="5"/>
  <c r="R18" i="5" s="1"/>
  <c r="O119" i="10"/>
  <c r="O55" i="10"/>
  <c r="Q77" i="8"/>
  <c r="R77" i="8" s="1"/>
  <c r="P80" i="11"/>
  <c r="P95" i="9"/>
  <c r="P121" i="11"/>
  <c r="P57" i="11"/>
  <c r="Q93" i="11" s="1"/>
  <c r="R93" i="11" s="1"/>
  <c r="O99" i="9"/>
  <c r="P114" i="9" s="1"/>
  <c r="O88" i="8"/>
  <c r="P45" i="8" s="1"/>
  <c r="Q96" i="6"/>
  <c r="R96" i="6" s="1"/>
  <c r="P8" i="11"/>
  <c r="P59" i="9"/>
  <c r="P47" i="11"/>
  <c r="Q88" i="11" s="1"/>
  <c r="R88" i="11" s="1"/>
  <c r="Q80" i="6"/>
  <c r="R80" i="6" s="1"/>
  <c r="P93" i="8"/>
  <c r="P129" i="7"/>
  <c r="Q63" i="11"/>
  <c r="R63" i="11" s="1"/>
  <c r="P10" i="6"/>
  <c r="Q6" i="6" s="1"/>
  <c r="R6" i="6" s="1"/>
  <c r="Q78" i="10"/>
  <c r="R78" i="10" s="1"/>
  <c r="O56" i="7"/>
  <c r="O120" i="7"/>
  <c r="P125" i="5"/>
  <c r="O62" i="11"/>
  <c r="P32" i="11" s="1"/>
  <c r="Q17" i="11" s="1"/>
  <c r="R17" i="11" s="1"/>
  <c r="Q113" i="6"/>
  <c r="R113" i="6" s="1"/>
  <c r="O28" i="10"/>
  <c r="Q22" i="9"/>
  <c r="R22" i="9" s="1"/>
  <c r="P89" i="5"/>
  <c r="Q109" i="5" s="1"/>
  <c r="R109" i="5" s="1"/>
  <c r="P34" i="11"/>
  <c r="P5" i="11"/>
  <c r="Q67" i="11" s="1"/>
  <c r="R67" i="11" s="1"/>
  <c r="Q59" i="8"/>
  <c r="R59" i="8" s="1"/>
  <c r="P106" i="6"/>
  <c r="Q54" i="6" s="1"/>
  <c r="R54" i="6" s="1"/>
  <c r="P25" i="10"/>
  <c r="Q77" i="10" s="1"/>
  <c r="R77" i="10" s="1"/>
  <c r="P89" i="10"/>
  <c r="Q109" i="10" s="1"/>
  <c r="R109" i="10" s="1"/>
  <c r="O27" i="5"/>
  <c r="P78" i="5" s="1"/>
  <c r="O91" i="5"/>
  <c r="O90" i="7"/>
  <c r="Q100" i="8"/>
  <c r="R100" i="8" s="1"/>
  <c r="P120" i="11"/>
  <c r="Q61" i="11" s="1"/>
  <c r="R61" i="11" s="1"/>
  <c r="P128" i="7"/>
  <c r="Q65" i="7" s="1"/>
  <c r="R65" i="7" s="1"/>
  <c r="P40" i="11"/>
  <c r="Q21" i="11" s="1"/>
  <c r="R21" i="11" s="1"/>
  <c r="O37" i="5"/>
  <c r="O10" i="10"/>
  <c r="P6" i="10" s="1"/>
  <c r="O74" i="10"/>
  <c r="O36" i="11"/>
  <c r="P119" i="7"/>
  <c r="P37" i="8"/>
  <c r="Q83" i="8" s="1"/>
  <c r="R83" i="8" s="1"/>
  <c r="P86" i="11"/>
  <c r="Q44" i="11" s="1"/>
  <c r="R44" i="11" s="1"/>
  <c r="Q29" i="10"/>
  <c r="R29" i="10" s="1"/>
  <c r="Q65" i="6"/>
  <c r="R65" i="6" s="1"/>
  <c r="Q70" i="6"/>
  <c r="R70" i="6" s="1"/>
  <c r="P104" i="7"/>
  <c r="Q53" i="7" s="1"/>
  <c r="R53" i="7" s="1"/>
  <c r="P40" i="7"/>
  <c r="Q34" i="8"/>
  <c r="R34" i="8" s="1"/>
  <c r="O43" i="5"/>
  <c r="P86" i="5" s="1"/>
  <c r="Q44" i="5" s="1"/>
  <c r="R44" i="5" s="1"/>
  <c r="O107" i="5"/>
  <c r="O49" i="11"/>
  <c r="Q20" i="7"/>
  <c r="R20" i="7" s="1"/>
  <c r="P12" i="11"/>
  <c r="Q7" i="11" s="1"/>
  <c r="R7" i="11" s="1"/>
  <c r="P76" i="11"/>
  <c r="P99" i="9"/>
  <c r="Q114" i="9" s="1"/>
  <c r="R114" i="9" s="1"/>
  <c r="Q70" i="10"/>
  <c r="R70" i="10" s="1"/>
  <c r="P68" i="11"/>
  <c r="Q35" i="11" s="1"/>
  <c r="R35" i="11" s="1"/>
  <c r="O97" i="6"/>
  <c r="P113" i="6" s="1"/>
  <c r="Q121" i="6" s="1"/>
  <c r="R121" i="6" s="1"/>
  <c r="P13" i="10"/>
  <c r="Q25" i="7"/>
  <c r="R25" i="7" s="1"/>
  <c r="P6" i="5"/>
  <c r="Q4" i="5" s="1"/>
  <c r="R4" i="5" s="1"/>
  <c r="P104" i="9"/>
  <c r="Q107" i="5"/>
  <c r="R107" i="5" s="1"/>
  <c r="Q19" i="8"/>
  <c r="R19" i="8" s="1"/>
  <c r="P94" i="11"/>
  <c r="P84" i="5"/>
  <c r="Q43" i="5" s="1"/>
  <c r="R43" i="5" s="1"/>
  <c r="Q45" i="10"/>
  <c r="R45" i="10" s="1"/>
  <c r="O123" i="7"/>
  <c r="P126" i="7" s="1"/>
  <c r="Q64" i="7" s="1"/>
  <c r="R64" i="7" s="1"/>
  <c r="O59" i="7"/>
  <c r="P9" i="6"/>
  <c r="Q69" i="6" s="1"/>
  <c r="R69" i="6" s="1"/>
  <c r="P18" i="6"/>
  <c r="P82" i="6"/>
  <c r="Q42" i="6" s="1"/>
  <c r="R42" i="6" s="1"/>
  <c r="P103" i="11"/>
  <c r="Q116" i="11" s="1"/>
  <c r="R116" i="11" s="1"/>
  <c r="P52" i="11"/>
  <c r="Q57" i="5"/>
  <c r="R57" i="5" s="1"/>
  <c r="P50" i="9"/>
  <c r="Q24" i="9"/>
  <c r="R24" i="9" s="1"/>
  <c r="P33" i="9"/>
  <c r="Q81" i="9" s="1"/>
  <c r="R81" i="9" s="1"/>
  <c r="Q7" i="9"/>
  <c r="R7" i="9" s="1"/>
  <c r="P18" i="11"/>
  <c r="P87" i="7"/>
  <c r="Q108" i="7" s="1"/>
  <c r="R108" i="7" s="1"/>
  <c r="P18" i="5"/>
  <c r="P82" i="5"/>
  <c r="Q58" i="11"/>
  <c r="R58" i="11" s="1"/>
  <c r="P78" i="8"/>
  <c r="P122" i="7"/>
  <c r="P21" i="8"/>
  <c r="Q56" i="10"/>
  <c r="R56" i="10" s="1"/>
  <c r="O28" i="7"/>
  <c r="O122" i="11"/>
  <c r="P62" i="11" s="1"/>
  <c r="Q32" i="11" s="1"/>
  <c r="R32" i="11" s="1"/>
  <c r="O58" i="11"/>
  <c r="P30" i="11" s="1"/>
  <c r="Q16" i="11" s="1"/>
  <c r="R16" i="11" s="1"/>
  <c r="P98" i="6"/>
  <c r="Q50" i="6" s="1"/>
  <c r="R50" i="6" s="1"/>
  <c r="P34" i="6"/>
  <c r="Q3" i="11"/>
  <c r="R3" i="11" s="1"/>
  <c r="Q53" i="8"/>
  <c r="R53" i="8" s="1"/>
  <c r="P36" i="5"/>
  <c r="P65" i="11"/>
  <c r="Q97" i="11" s="1"/>
  <c r="R97" i="11" s="1"/>
  <c r="O127" i="10"/>
  <c r="O63" i="10"/>
  <c r="P88" i="6"/>
  <c r="P8" i="8"/>
  <c r="Q5" i="8" s="1"/>
  <c r="R5" i="8" s="1"/>
  <c r="O87" i="10"/>
  <c r="P108" i="10" s="1"/>
  <c r="O23" i="10"/>
  <c r="Q104" i="6"/>
  <c r="R104" i="6" s="1"/>
  <c r="O50" i="9"/>
  <c r="P26" i="9" s="1"/>
  <c r="Q14" i="9" s="1"/>
  <c r="R14" i="9" s="1"/>
  <c r="O114" i="9"/>
  <c r="P32" i="5"/>
  <c r="Q17" i="5" s="1"/>
  <c r="R17" i="5" s="1"/>
  <c r="P96" i="5"/>
  <c r="Q112" i="10"/>
  <c r="R112" i="10" s="1"/>
  <c r="P21" i="5"/>
  <c r="Q75" i="5" s="1"/>
  <c r="R75" i="5" s="1"/>
  <c r="Q47" i="7"/>
  <c r="R47" i="7" s="1"/>
  <c r="Q34" i="6"/>
  <c r="R34" i="6" s="1"/>
  <c r="Q98" i="6"/>
  <c r="R98" i="6" s="1"/>
  <c r="Q9" i="11"/>
  <c r="R9" i="11" s="1"/>
  <c r="P28" i="7"/>
  <c r="Q38" i="5"/>
  <c r="R38" i="5" s="1"/>
  <c r="O123" i="11"/>
  <c r="O117" i="7"/>
  <c r="P123" i="7" s="1"/>
  <c r="Q126" i="7" s="1"/>
  <c r="R126" i="7" s="1"/>
  <c r="O53" i="7"/>
  <c r="Q64" i="9"/>
  <c r="R64" i="9" s="1"/>
  <c r="Q28" i="7"/>
  <c r="R28" i="7" s="1"/>
  <c r="Q77" i="7"/>
  <c r="R77" i="7" s="1"/>
  <c r="Q16" i="5"/>
  <c r="R16" i="5" s="1"/>
  <c r="Q6" i="9"/>
  <c r="R6" i="9" s="1"/>
  <c r="P3" i="11"/>
  <c r="Q66" i="11" s="1"/>
  <c r="R66" i="11" s="1"/>
  <c r="O80" i="7"/>
  <c r="P41" i="7" s="1"/>
  <c r="Q85" i="7" s="1"/>
  <c r="R85" i="7" s="1"/>
  <c r="O16" i="7"/>
  <c r="O80" i="10"/>
  <c r="O16" i="10"/>
  <c r="P62" i="7"/>
  <c r="Q32" i="7" s="1"/>
  <c r="R32" i="7" s="1"/>
  <c r="Q102" i="6"/>
  <c r="R102" i="6" s="1"/>
  <c r="Q79" i="11"/>
  <c r="R79" i="11" s="1"/>
  <c r="P77" i="9"/>
  <c r="Q103" i="9" s="1"/>
  <c r="R103" i="9" s="1"/>
  <c r="P73" i="11"/>
  <c r="Q101" i="11" s="1"/>
  <c r="R101" i="11" s="1"/>
  <c r="P9" i="11"/>
  <c r="Q69" i="11" s="1"/>
  <c r="R69" i="11" s="1"/>
  <c r="P67" i="9"/>
  <c r="O73" i="5"/>
  <c r="P101" i="5" s="1"/>
  <c r="O9" i="5"/>
  <c r="Q33" i="11"/>
  <c r="R33" i="11" s="1"/>
  <c r="P68" i="6"/>
  <c r="P4" i="6"/>
  <c r="Q119" i="11"/>
  <c r="R119" i="11" s="1"/>
  <c r="O128" i="9"/>
  <c r="P65" i="9" s="1"/>
  <c r="P105" i="7"/>
  <c r="P69" i="6"/>
  <c r="Q99" i="6" s="1"/>
  <c r="R99" i="6" s="1"/>
  <c r="P5" i="6"/>
  <c r="Q67" i="6" s="1"/>
  <c r="R67" i="6" s="1"/>
  <c r="P56" i="9"/>
  <c r="P120" i="9"/>
  <c r="Q61" i="9" s="1"/>
  <c r="R61" i="9" s="1"/>
  <c r="O64" i="7"/>
  <c r="P65" i="8"/>
  <c r="P11" i="5"/>
  <c r="Q70" i="5" s="1"/>
  <c r="R70" i="5" s="1"/>
  <c r="P96" i="8"/>
  <c r="Q49" i="8" s="1"/>
  <c r="R49" i="8" s="1"/>
  <c r="Q76" i="6"/>
  <c r="R76" i="6" s="1"/>
  <c r="O42" i="9"/>
  <c r="O121" i="9"/>
  <c r="P103" i="6"/>
  <c r="P88" i="11"/>
  <c r="P96" i="9"/>
  <c r="Q49" i="9" s="1"/>
  <c r="R49" i="9" s="1"/>
  <c r="P68" i="7"/>
  <c r="Q35" i="7" s="1"/>
  <c r="R35" i="7" s="1"/>
  <c r="Q119" i="5"/>
  <c r="R119" i="5" s="1"/>
  <c r="P111" i="10"/>
  <c r="Q120" i="10" s="1"/>
  <c r="R120" i="10" s="1"/>
  <c r="Q65" i="5"/>
  <c r="R65" i="5" s="1"/>
  <c r="Q123" i="11"/>
  <c r="R123" i="11" s="1"/>
  <c r="P57" i="9"/>
  <c r="Q93" i="9" s="1"/>
  <c r="R93" i="9" s="1"/>
  <c r="P107" i="9"/>
  <c r="Q118" i="9" s="1"/>
  <c r="R118" i="9" s="1"/>
  <c r="O120" i="8"/>
  <c r="P61" i="8" s="1"/>
  <c r="P116" i="10"/>
  <c r="Q59" i="10" s="1"/>
  <c r="R59" i="10" s="1"/>
  <c r="P63" i="10"/>
  <c r="Q96" i="10" s="1"/>
  <c r="R96" i="10" s="1"/>
  <c r="P102" i="8"/>
  <c r="Q52" i="8" s="1"/>
  <c r="R52" i="8" s="1"/>
  <c r="P80" i="5"/>
  <c r="Q41" i="5" s="1"/>
  <c r="R41" i="5" s="1"/>
  <c r="P16" i="5"/>
  <c r="Q9" i="5" s="1"/>
  <c r="R9" i="5" s="1"/>
  <c r="P118" i="9"/>
  <c r="Q60" i="9" s="1"/>
  <c r="R60" i="9" s="1"/>
  <c r="O48" i="9"/>
  <c r="P25" i="9" s="1"/>
  <c r="Q77" i="9" s="1"/>
  <c r="R77" i="9" s="1"/>
  <c r="P6" i="9"/>
  <c r="Q4" i="9" s="1"/>
  <c r="R4" i="9" s="1"/>
  <c r="O6" i="5"/>
  <c r="P4" i="5" s="1"/>
  <c r="P65" i="6"/>
  <c r="Q97" i="6" s="1"/>
  <c r="R97" i="6" s="1"/>
  <c r="O25" i="8"/>
  <c r="P77" i="8" s="1"/>
  <c r="P68" i="5"/>
  <c r="Q70" i="8"/>
  <c r="R70" i="8" s="1"/>
  <c r="P101" i="11"/>
  <c r="P37" i="11"/>
  <c r="Q83" i="11" s="1"/>
  <c r="R83" i="11" s="1"/>
  <c r="P59" i="10"/>
  <c r="P123" i="10"/>
  <c r="Q126" i="10" s="1"/>
  <c r="R126" i="10" s="1"/>
  <c r="P53" i="8"/>
  <c r="Q91" i="8" s="1"/>
  <c r="R91" i="8" s="1"/>
  <c r="P5" i="7"/>
  <c r="Q67" i="7" s="1"/>
  <c r="R67" i="7" s="1"/>
  <c r="O69" i="7"/>
  <c r="P99" i="7" s="1"/>
  <c r="Q114" i="7" s="1"/>
  <c r="R114" i="7" s="1"/>
  <c r="O5" i="7"/>
  <c r="P67" i="7" s="1"/>
  <c r="Q98" i="7" s="1"/>
  <c r="R98" i="7" s="1"/>
  <c r="O7" i="10"/>
  <c r="O48" i="6"/>
  <c r="P25" i="6" s="1"/>
  <c r="Q77" i="6" s="1"/>
  <c r="R77" i="6" s="1"/>
  <c r="O112" i="6"/>
  <c r="Q61" i="8"/>
  <c r="R61" i="8" s="1"/>
  <c r="O30" i="9"/>
  <c r="P86" i="8"/>
  <c r="Q108" i="5"/>
  <c r="R108" i="5" s="1"/>
  <c r="O107" i="10"/>
  <c r="P118" i="10" s="1"/>
  <c r="Q60" i="10" s="1"/>
  <c r="R60" i="10" s="1"/>
  <c r="O43" i="10"/>
  <c r="P86" i="10" s="1"/>
  <c r="Q44" i="10" s="1"/>
  <c r="R44" i="10" s="1"/>
  <c r="P16" i="10"/>
  <c r="O38" i="10"/>
  <c r="P20" i="10" s="1"/>
  <c r="Q115" i="8"/>
  <c r="R115" i="8" s="1"/>
  <c r="O29" i="11"/>
  <c r="Q44" i="7"/>
  <c r="R44" i="7" s="1"/>
  <c r="Q24" i="10"/>
  <c r="R24" i="10" s="1"/>
  <c r="P59" i="11"/>
  <c r="Q94" i="11" s="1"/>
  <c r="R94" i="11" s="1"/>
  <c r="P63" i="7"/>
  <c r="Q128" i="5"/>
  <c r="R128" i="5" s="1"/>
  <c r="Q40" i="9"/>
  <c r="R40" i="9" s="1"/>
  <c r="O5" i="5"/>
  <c r="P22" i="5"/>
  <c r="P66" i="10"/>
  <c r="Q34" i="10" s="1"/>
  <c r="R34" i="10" s="1"/>
  <c r="P2" i="10"/>
  <c r="P110" i="8"/>
  <c r="Q56" i="8" s="1"/>
  <c r="R56" i="8" s="1"/>
  <c r="P14" i="5"/>
  <c r="Q8" i="5" s="1"/>
  <c r="R8" i="5" s="1"/>
  <c r="P67" i="10"/>
  <c r="P3" i="10"/>
  <c r="Q66" i="10" s="1"/>
  <c r="R66" i="10" s="1"/>
  <c r="O39" i="8"/>
  <c r="P84" i="8" s="1"/>
  <c r="Q43" i="8" s="1"/>
  <c r="R43" i="8" s="1"/>
  <c r="P49" i="5"/>
  <c r="Q89" i="5" s="1"/>
  <c r="R89" i="5" s="1"/>
  <c r="Q112" i="6"/>
  <c r="R112" i="6" s="1"/>
  <c r="O14" i="9"/>
  <c r="O119" i="8"/>
  <c r="O55" i="8"/>
  <c r="P92" i="8" s="1"/>
  <c r="Q47" i="8" s="1"/>
  <c r="R47" i="8" s="1"/>
  <c r="O80" i="6"/>
  <c r="Q16" i="10"/>
  <c r="R16" i="10" s="1"/>
  <c r="O68" i="7"/>
  <c r="O88" i="9"/>
  <c r="P88" i="7"/>
  <c r="Q45" i="7" s="1"/>
  <c r="R45" i="7" s="1"/>
  <c r="Q105" i="5"/>
  <c r="R105" i="5" s="1"/>
  <c r="P103" i="7"/>
  <c r="P55" i="6"/>
  <c r="Q92" i="6" s="1"/>
  <c r="R92" i="6" s="1"/>
  <c r="P69" i="9"/>
  <c r="Q99" i="9" s="1"/>
  <c r="R99" i="9" s="1"/>
  <c r="O56" i="9"/>
  <c r="P29" i="9" s="1"/>
  <c r="Q79" i="9" s="1"/>
  <c r="R79" i="9" s="1"/>
  <c r="O120" i="9"/>
  <c r="P61" i="9" s="1"/>
  <c r="Q71" i="11"/>
  <c r="R71" i="11" s="1"/>
  <c r="Q25" i="9"/>
  <c r="R25" i="9" s="1"/>
  <c r="Q52" i="11"/>
  <c r="R52" i="11" s="1"/>
  <c r="Q38" i="9"/>
  <c r="R38" i="9" s="1"/>
  <c r="P11" i="9"/>
  <c r="Q70" i="9" s="1"/>
  <c r="R70" i="9" s="1"/>
  <c r="O58" i="7"/>
  <c r="P30" i="7" s="1"/>
  <c r="Q16" i="7" s="1"/>
  <c r="R16" i="7" s="1"/>
  <c r="P19" i="6"/>
  <c r="Q74" i="6" s="1"/>
  <c r="R74" i="6" s="1"/>
  <c r="P62" i="10"/>
  <c r="Q126" i="5"/>
  <c r="R126" i="5" s="1"/>
  <c r="P34" i="9"/>
  <c r="Q18" i="9" s="1"/>
  <c r="R18" i="9" s="1"/>
  <c r="Q118" i="10"/>
  <c r="R118" i="10" s="1"/>
  <c r="P81" i="8"/>
  <c r="P17" i="8"/>
  <c r="Q73" i="8" s="1"/>
  <c r="R73" i="8" s="1"/>
  <c r="Q19" i="6"/>
  <c r="R19" i="6" s="1"/>
  <c r="O70" i="10"/>
  <c r="P36" i="10" s="1"/>
  <c r="O6" i="10"/>
  <c r="P4" i="10" s="1"/>
  <c r="Q3" i="10" s="1"/>
  <c r="R3" i="10" s="1"/>
  <c r="O81" i="9"/>
  <c r="P105" i="9" s="1"/>
  <c r="Q117" i="9" s="1"/>
  <c r="R117" i="9" s="1"/>
  <c r="O73" i="7"/>
  <c r="P101" i="7" s="1"/>
  <c r="Q115" i="7" s="1"/>
  <c r="R115" i="7" s="1"/>
  <c r="Q62" i="10"/>
  <c r="R62" i="10" s="1"/>
  <c r="Q2" i="9"/>
  <c r="R2" i="9" s="1"/>
  <c r="P44" i="10"/>
  <c r="P60" i="9"/>
  <c r="Q31" i="9" s="1"/>
  <c r="R31" i="9" s="1"/>
  <c r="O108" i="7"/>
  <c r="P55" i="7" s="1"/>
  <c r="Q92" i="7" s="1"/>
  <c r="R92" i="7" s="1"/>
  <c r="P110" i="11"/>
  <c r="Q56" i="11" s="1"/>
  <c r="R56" i="11" s="1"/>
  <c r="Q13" i="5"/>
  <c r="R13" i="5" s="1"/>
  <c r="Q114" i="6"/>
  <c r="R114" i="6" s="1"/>
  <c r="P33" i="10"/>
  <c r="Q72" i="8"/>
  <c r="R72" i="8" s="1"/>
  <c r="O94" i="8"/>
  <c r="O30" i="8"/>
  <c r="P16" i="8" s="1"/>
  <c r="O23" i="5"/>
  <c r="O68" i="11"/>
  <c r="P83" i="10"/>
  <c r="O69" i="8"/>
  <c r="O5" i="8"/>
  <c r="P67" i="8" s="1"/>
  <c r="Q98" i="8" s="1"/>
  <c r="R98" i="8" s="1"/>
  <c r="P96" i="11"/>
  <c r="Q49" i="11" s="1"/>
  <c r="R49" i="11" s="1"/>
  <c r="P44" i="5"/>
  <c r="Q23" i="5" s="1"/>
  <c r="R23" i="5" s="1"/>
  <c r="P99" i="5"/>
  <c r="Q114" i="5" s="1"/>
  <c r="R114" i="5" s="1"/>
  <c r="P35" i="5"/>
  <c r="Q82" i="5" s="1"/>
  <c r="R82" i="5" s="1"/>
  <c r="P36" i="11"/>
  <c r="P100" i="11"/>
  <c r="Q51" i="11" s="1"/>
  <c r="R51" i="11" s="1"/>
  <c r="Q57" i="11"/>
  <c r="R57" i="11" s="1"/>
  <c r="Q126" i="8"/>
  <c r="R126" i="8" s="1"/>
  <c r="Q14" i="5"/>
  <c r="R14" i="5" s="1"/>
  <c r="Q65" i="8"/>
  <c r="R65" i="8" s="1"/>
  <c r="P78" i="7"/>
  <c r="P52" i="5"/>
  <c r="Q27" i="5" s="1"/>
  <c r="R27" i="5" s="1"/>
  <c r="Q73" i="5"/>
  <c r="R73" i="5" s="1"/>
  <c r="Q19" i="9"/>
  <c r="R19" i="9" s="1"/>
  <c r="P20" i="8"/>
  <c r="Q11" i="8" s="1"/>
  <c r="R11" i="8" s="1"/>
  <c r="P47" i="6"/>
  <c r="Q88" i="6" s="1"/>
  <c r="R88" i="6" s="1"/>
  <c r="P112" i="10"/>
  <c r="P2" i="6"/>
  <c r="Q16" i="9"/>
  <c r="R16" i="9" s="1"/>
  <c r="P112" i="9"/>
  <c r="Q57" i="9" s="1"/>
  <c r="R57" i="9" s="1"/>
  <c r="O71" i="5"/>
  <c r="P100" i="5" s="1"/>
  <c r="Q51" i="5" s="1"/>
  <c r="R51" i="5" s="1"/>
  <c r="Q110" i="11"/>
  <c r="R110" i="11" s="1"/>
  <c r="P66" i="9"/>
  <c r="Q34" i="9" s="1"/>
  <c r="R34" i="9" s="1"/>
  <c r="O56" i="5"/>
  <c r="Q60" i="11"/>
  <c r="R60" i="11" s="1"/>
  <c r="P71" i="11"/>
  <c r="Q100" i="11" s="1"/>
  <c r="R100" i="11" s="1"/>
  <c r="O121" i="10"/>
  <c r="P125" i="10" s="1"/>
  <c r="O57" i="10"/>
  <c r="Q60" i="6"/>
  <c r="R60" i="6" s="1"/>
  <c r="Q81" i="8"/>
  <c r="R81" i="8" s="1"/>
  <c r="P121" i="10"/>
  <c r="P81" i="7"/>
  <c r="Q105" i="7" s="1"/>
  <c r="R105" i="7" s="1"/>
  <c r="P33" i="6"/>
  <c r="Q81" i="6" s="1"/>
  <c r="R81" i="6" s="1"/>
  <c r="Q119" i="6"/>
  <c r="R119" i="6" s="1"/>
  <c r="P5" i="10"/>
  <c r="P16" i="7"/>
  <c r="Q9" i="7" s="1"/>
  <c r="R9" i="7" s="1"/>
  <c r="P102" i="7"/>
  <c r="Q52" i="7" s="1"/>
  <c r="R52" i="7" s="1"/>
  <c r="Q108" i="10"/>
  <c r="R108" i="10" s="1"/>
  <c r="P15" i="9"/>
  <c r="Q72" i="9" s="1"/>
  <c r="R72" i="9" s="1"/>
  <c r="P62" i="5"/>
  <c r="Q32" i="5" s="1"/>
  <c r="R32" i="5" s="1"/>
  <c r="P57" i="5"/>
  <c r="O20" i="11"/>
  <c r="P11" i="11" s="1"/>
  <c r="Q70" i="11" s="1"/>
  <c r="R70" i="11" s="1"/>
  <c r="O84" i="11"/>
  <c r="P43" i="11" s="1"/>
  <c r="Q86" i="11" s="1"/>
  <c r="R86" i="11" s="1"/>
  <c r="P121" i="7"/>
  <c r="Q125" i="7" s="1"/>
  <c r="R125" i="7" s="1"/>
  <c r="Q48" i="8"/>
  <c r="R48" i="8" s="1"/>
  <c r="O10" i="7"/>
  <c r="P6" i="7" s="1"/>
  <c r="O124" i="8"/>
  <c r="P95" i="11"/>
  <c r="Q112" i="11" s="1"/>
  <c r="R112" i="11" s="1"/>
  <c r="P32" i="7"/>
  <c r="P91" i="10"/>
  <c r="Q110" i="10" s="1"/>
  <c r="R110" i="10" s="1"/>
  <c r="P102" i="9"/>
  <c r="Q3" i="7"/>
  <c r="R3" i="7" s="1"/>
  <c r="Q61" i="7"/>
  <c r="R61" i="7" s="1"/>
  <c r="O12" i="9"/>
  <c r="P7" i="9" s="1"/>
  <c r="O76" i="9"/>
  <c r="P39" i="9" s="1"/>
  <c r="Q84" i="9" s="1"/>
  <c r="R84" i="9" s="1"/>
  <c r="P80" i="8"/>
  <c r="Q41" i="8" s="1"/>
  <c r="R41" i="8" s="1"/>
  <c r="Q99" i="11"/>
  <c r="R99" i="11" s="1"/>
  <c r="O13" i="9"/>
  <c r="O77" i="9"/>
  <c r="Q76" i="7"/>
  <c r="R76" i="7" s="1"/>
  <c r="Q8" i="9"/>
  <c r="R8" i="9" s="1"/>
  <c r="P79" i="8"/>
  <c r="Q104" i="8" s="1"/>
  <c r="R104" i="8" s="1"/>
  <c r="Q20" i="11"/>
  <c r="R20" i="11" s="1"/>
  <c r="Q33" i="7"/>
  <c r="R33" i="7" s="1"/>
  <c r="Q39" i="6"/>
  <c r="R39" i="6" s="1"/>
  <c r="P51" i="5"/>
  <c r="Q90" i="5" s="1"/>
  <c r="R90" i="5" s="1"/>
  <c r="P87" i="6"/>
  <c r="Q108" i="6" s="1"/>
  <c r="R108" i="6" s="1"/>
  <c r="Q92" i="11"/>
  <c r="R92" i="11" s="1"/>
  <c r="P49" i="11"/>
  <c r="Q89" i="11" s="1"/>
  <c r="R89" i="11" s="1"/>
  <c r="P124" i="7"/>
  <c r="O89" i="10"/>
  <c r="P109" i="10" s="1"/>
  <c r="Q119" i="10" s="1"/>
  <c r="R119" i="10" s="1"/>
  <c r="O25" i="10"/>
  <c r="P77" i="10" s="1"/>
  <c r="P75" i="7"/>
  <c r="Q102" i="7" s="1"/>
  <c r="R102" i="7" s="1"/>
  <c r="O75" i="6"/>
  <c r="O11" i="6"/>
  <c r="Q13" i="10"/>
  <c r="R13" i="10" s="1"/>
  <c r="P83" i="7"/>
  <c r="Q101" i="8"/>
  <c r="R101" i="8" s="1"/>
  <c r="P76" i="8"/>
  <c r="Q39" i="8" s="1"/>
  <c r="R39" i="8" s="1"/>
  <c r="P17" i="6"/>
  <c r="Q73" i="6" s="1"/>
  <c r="R73" i="6" s="1"/>
  <c r="P39" i="8"/>
  <c r="Q84" i="8" s="1"/>
  <c r="R84" i="8" s="1"/>
  <c r="Q100" i="5"/>
  <c r="R100" i="5" s="1"/>
  <c r="Q34" i="7"/>
  <c r="R34" i="7" s="1"/>
  <c r="Q22" i="10"/>
  <c r="R22" i="10" s="1"/>
  <c r="O13" i="10"/>
  <c r="O77" i="10"/>
  <c r="P103" i="10" s="1"/>
  <c r="P59" i="8"/>
  <c r="Q94" i="8" s="1"/>
  <c r="R94" i="8" s="1"/>
  <c r="Q86" i="6"/>
  <c r="R86" i="6" s="1"/>
  <c r="P14" i="6"/>
  <c r="Q8" i="6" s="1"/>
  <c r="R8" i="6" s="1"/>
  <c r="Q78" i="11"/>
  <c r="R78" i="11" s="1"/>
  <c r="P23" i="11"/>
  <c r="Q76" i="11" s="1"/>
  <c r="R76" i="11" s="1"/>
  <c r="O57" i="7"/>
  <c r="P93" i="7" s="1"/>
  <c r="Q111" i="7" s="1"/>
  <c r="R111" i="7" s="1"/>
  <c r="O121" i="7"/>
  <c r="P125" i="7" s="1"/>
  <c r="Q127" i="7" s="1"/>
  <c r="R127" i="7" s="1"/>
  <c r="O86" i="7"/>
  <c r="P44" i="7" s="1"/>
  <c r="P117" i="5"/>
  <c r="Q123" i="5" s="1"/>
  <c r="R123" i="5" s="1"/>
  <c r="P72" i="6"/>
  <c r="Q37" i="6" s="1"/>
  <c r="R37" i="6" s="1"/>
  <c r="P103" i="9" l="1"/>
  <c r="Q116" i="9" s="1"/>
  <c r="R116" i="9" s="1"/>
  <c r="Q20" i="9"/>
  <c r="R20" i="9" s="1"/>
  <c r="Q129" i="7"/>
  <c r="R129" i="7" s="1"/>
  <c r="Q115" i="10"/>
  <c r="R115" i="10" s="1"/>
  <c r="Q68" i="9"/>
  <c r="R68" i="9" s="1"/>
  <c r="Q4" i="7"/>
  <c r="R4" i="7" s="1"/>
  <c r="Q68" i="7"/>
  <c r="R68" i="7" s="1"/>
  <c r="Q93" i="5"/>
  <c r="R93" i="5" s="1"/>
  <c r="Q29" i="5"/>
  <c r="R29" i="5" s="1"/>
  <c r="Q125" i="10"/>
  <c r="R125" i="10" s="1"/>
  <c r="Q61" i="10"/>
  <c r="R61" i="10" s="1"/>
  <c r="P108" i="7"/>
  <c r="P90" i="9"/>
  <c r="Q33" i="6"/>
  <c r="R33" i="6" s="1"/>
  <c r="Q105" i="8"/>
  <c r="R105" i="8" s="1"/>
  <c r="Q116" i="7"/>
  <c r="R116" i="7" s="1"/>
  <c r="P41" i="6"/>
  <c r="P70" i="7"/>
  <c r="Q2" i="10"/>
  <c r="R2" i="10" s="1"/>
  <c r="Q115" i="11"/>
  <c r="R115" i="11" s="1"/>
  <c r="Q116" i="8"/>
  <c r="R116" i="8" s="1"/>
  <c r="Q97" i="8"/>
  <c r="R97" i="8" s="1"/>
  <c r="Q33" i="8"/>
  <c r="R33" i="8" s="1"/>
  <c r="Q117" i="7"/>
  <c r="R117" i="7" s="1"/>
  <c r="P69" i="5"/>
  <c r="Q99" i="5" s="1"/>
  <c r="R99" i="5" s="1"/>
  <c r="P5" i="5"/>
  <c r="Q67" i="5" s="1"/>
  <c r="R67" i="5" s="1"/>
  <c r="P75" i="11"/>
  <c r="Q102" i="11" s="1"/>
  <c r="R102" i="11" s="1"/>
  <c r="P89" i="6"/>
  <c r="Q109" i="6" s="1"/>
  <c r="R109" i="6" s="1"/>
  <c r="P3" i="8"/>
  <c r="Q40" i="8"/>
  <c r="R40" i="8" s="1"/>
  <c r="Q26" i="9"/>
  <c r="R26" i="9" s="1"/>
  <c r="Q10" i="6"/>
  <c r="R10" i="6" s="1"/>
  <c r="Q13" i="6"/>
  <c r="R13" i="6" s="1"/>
  <c r="P41" i="9"/>
  <c r="Q53" i="9"/>
  <c r="R53" i="9" s="1"/>
  <c r="Q13" i="9"/>
  <c r="R13" i="9" s="1"/>
  <c r="P19" i="11"/>
  <c r="Q74" i="11" s="1"/>
  <c r="R74" i="11" s="1"/>
  <c r="P83" i="11"/>
  <c r="P61" i="7"/>
  <c r="Q54" i="9"/>
  <c r="R54" i="9" s="1"/>
  <c r="Q17" i="6"/>
  <c r="R17" i="6" s="1"/>
  <c r="Q17" i="9"/>
  <c r="R17" i="9" s="1"/>
  <c r="Q10" i="9"/>
  <c r="R10" i="9" s="1"/>
  <c r="Q35" i="9"/>
  <c r="R35" i="9" s="1"/>
  <c r="Q123" i="10"/>
  <c r="R123" i="10" s="1"/>
  <c r="Q54" i="7"/>
  <c r="R54" i="7" s="1"/>
  <c r="Q118" i="7"/>
  <c r="R118" i="7" s="1"/>
  <c r="Q78" i="9"/>
  <c r="R78" i="9" s="1"/>
  <c r="P19" i="9"/>
  <c r="Q74" i="9" s="1"/>
  <c r="R74" i="9" s="1"/>
  <c r="P83" i="9"/>
  <c r="Q82" i="9"/>
  <c r="R82" i="9" s="1"/>
  <c r="Q80" i="11"/>
  <c r="R80" i="11" s="1"/>
  <c r="Q59" i="5"/>
  <c r="R59" i="5" s="1"/>
  <c r="Q51" i="7"/>
  <c r="R51" i="7" s="1"/>
  <c r="Q107" i="8"/>
  <c r="R107" i="8" s="1"/>
  <c r="P9" i="7"/>
  <c r="P73" i="7"/>
  <c r="Q127" i="5"/>
  <c r="R127" i="5" s="1"/>
  <c r="Q63" i="5"/>
  <c r="R63" i="5" s="1"/>
  <c r="Q112" i="9"/>
  <c r="R112" i="9" s="1"/>
  <c r="Q48" i="9"/>
  <c r="R48" i="9" s="1"/>
  <c r="Q76" i="10"/>
  <c r="R76" i="10" s="1"/>
  <c r="P51" i="9"/>
  <c r="Q90" i="9" s="1"/>
  <c r="R90" i="9" s="1"/>
  <c r="P115" i="9"/>
  <c r="Q122" i="9" s="1"/>
  <c r="R122" i="9" s="1"/>
  <c r="Q112" i="5"/>
  <c r="R112" i="5" s="1"/>
  <c r="Q48" i="5"/>
  <c r="R48" i="5" s="1"/>
  <c r="P85" i="7"/>
  <c r="Q107" i="7" s="1"/>
  <c r="R107" i="7" s="1"/>
  <c r="P21" i="7"/>
  <c r="Q63" i="7"/>
  <c r="R63" i="7" s="1"/>
  <c r="Q69" i="8"/>
  <c r="R69" i="8" s="1"/>
  <c r="P71" i="9"/>
  <c r="P71" i="10"/>
  <c r="Q100" i="10" s="1"/>
  <c r="R100" i="10" s="1"/>
  <c r="P7" i="10"/>
  <c r="Q68" i="10" s="1"/>
  <c r="R68" i="10" s="1"/>
  <c r="Q10" i="7"/>
  <c r="R10" i="7" s="1"/>
  <c r="P70" i="6"/>
  <c r="P6" i="6"/>
  <c r="Q93" i="7"/>
  <c r="R93" i="7" s="1"/>
  <c r="Q86" i="7"/>
  <c r="R86" i="7" s="1"/>
  <c r="Q52" i="9"/>
  <c r="R52" i="9" s="1"/>
  <c r="Q67" i="10"/>
  <c r="R67" i="10" s="1"/>
  <c r="Q19" i="11"/>
  <c r="R19" i="11" s="1"/>
  <c r="Q9" i="8"/>
  <c r="R9" i="8" s="1"/>
  <c r="P3" i="7"/>
  <c r="Q95" i="9"/>
  <c r="R95" i="9" s="1"/>
  <c r="P57" i="6"/>
  <c r="Q93" i="6" s="1"/>
  <c r="R93" i="6" s="1"/>
  <c r="P121" i="6"/>
  <c r="Q3" i="5"/>
  <c r="R3" i="5" s="1"/>
  <c r="Q95" i="8"/>
  <c r="R95" i="8" s="1"/>
  <c r="P125" i="9"/>
  <c r="P33" i="7"/>
  <c r="Q81" i="7" s="1"/>
  <c r="R81" i="7" s="1"/>
  <c r="P97" i="7"/>
  <c r="Q97" i="9"/>
  <c r="R97" i="9" s="1"/>
  <c r="Q33" i="9"/>
  <c r="R33" i="9" s="1"/>
  <c r="Q115" i="5"/>
  <c r="R115" i="5" s="1"/>
  <c r="P91" i="7"/>
  <c r="P27" i="7"/>
  <c r="P13" i="8"/>
  <c r="Q71" i="8" s="1"/>
  <c r="R71" i="8" s="1"/>
  <c r="Q26" i="5"/>
  <c r="R26" i="5" s="1"/>
  <c r="P58" i="9"/>
  <c r="Q30" i="9" s="1"/>
  <c r="R30" i="9" s="1"/>
  <c r="P122" i="9"/>
  <c r="Q45" i="6"/>
  <c r="R45" i="6" s="1"/>
  <c r="Q24" i="6"/>
  <c r="R24" i="6" s="1"/>
  <c r="Q128" i="7"/>
  <c r="R128" i="7" s="1"/>
  <c r="Q45" i="5"/>
  <c r="R45" i="5" s="1"/>
  <c r="Q39" i="9"/>
  <c r="R39" i="9" s="1"/>
  <c r="Q5" i="6"/>
  <c r="R5" i="6" s="1"/>
  <c r="Q81" i="5"/>
  <c r="R81" i="5" s="1"/>
  <c r="Q21" i="7"/>
  <c r="R21" i="7" s="1"/>
  <c r="Q50" i="5"/>
  <c r="R50" i="5" s="1"/>
  <c r="P38" i="10"/>
  <c r="P102" i="10"/>
  <c r="Q52" i="10" s="1"/>
  <c r="R52" i="10" s="1"/>
  <c r="P29" i="7"/>
  <c r="Q79" i="7" s="1"/>
  <c r="R79" i="7" s="1"/>
  <c r="Q111" i="8"/>
  <c r="R111" i="8" s="1"/>
  <c r="Q94" i="9"/>
  <c r="R94" i="9" s="1"/>
  <c r="Q2" i="11"/>
  <c r="R2" i="11" s="1"/>
  <c r="Q41" i="11"/>
  <c r="R41" i="11" s="1"/>
  <c r="Q105" i="11"/>
  <c r="R105" i="11" s="1"/>
  <c r="Q125" i="9"/>
  <c r="R125" i="9" s="1"/>
  <c r="Q109" i="7"/>
  <c r="R109" i="7" s="1"/>
  <c r="P102" i="5"/>
  <c r="P38" i="5"/>
  <c r="P4" i="8"/>
  <c r="P68" i="8"/>
  <c r="Q43" i="7"/>
  <c r="R43" i="7" s="1"/>
  <c r="P117" i="9"/>
  <c r="P53" i="9"/>
  <c r="Q118" i="6"/>
  <c r="R118" i="6" s="1"/>
  <c r="Q24" i="8"/>
  <c r="R24" i="8" s="1"/>
  <c r="Q88" i="8"/>
  <c r="R88" i="8" s="1"/>
  <c r="P93" i="9"/>
  <c r="P87" i="8"/>
  <c r="Q108" i="8" s="1"/>
  <c r="R108" i="8" s="1"/>
  <c r="P23" i="8"/>
  <c r="Q120" i="11"/>
  <c r="R120" i="11" s="1"/>
  <c r="P76" i="5"/>
  <c r="P12" i="5"/>
  <c r="P16" i="9"/>
  <c r="P80" i="9"/>
  <c r="Q41" i="9" s="1"/>
  <c r="R41" i="9" s="1"/>
  <c r="Q9" i="6"/>
  <c r="R9" i="6" s="1"/>
  <c r="Q23" i="10"/>
  <c r="R23" i="10" s="1"/>
  <c r="P124" i="8"/>
  <c r="P60" i="8"/>
  <c r="Q31" i="8" s="1"/>
  <c r="R31" i="8" s="1"/>
  <c r="Q12" i="5"/>
  <c r="R12" i="5" s="1"/>
  <c r="Q76" i="5"/>
  <c r="R76" i="5" s="1"/>
  <c r="P79" i="11"/>
  <c r="P15" i="11"/>
  <c r="Q98" i="9"/>
  <c r="R98" i="9" s="1"/>
  <c r="Q15" i="9"/>
  <c r="R15" i="9" s="1"/>
  <c r="P45" i="10"/>
  <c r="Q87" i="10" s="1"/>
  <c r="R87" i="10" s="1"/>
  <c r="P76" i="10"/>
  <c r="Q39" i="10" s="1"/>
  <c r="R39" i="10" s="1"/>
  <c r="P12" i="10"/>
  <c r="Q7" i="10" s="1"/>
  <c r="R7" i="10" s="1"/>
  <c r="P96" i="10"/>
  <c r="P32" i="10"/>
  <c r="Q17" i="10" s="1"/>
  <c r="R17" i="10" s="1"/>
  <c r="Q79" i="8"/>
  <c r="R79" i="8" s="1"/>
  <c r="P54" i="10"/>
  <c r="Q20" i="8"/>
  <c r="R20" i="8" s="1"/>
  <c r="P89" i="11"/>
  <c r="Q109" i="11" s="1"/>
  <c r="R109" i="11" s="1"/>
  <c r="P25" i="11"/>
  <c r="Q77" i="11" s="1"/>
  <c r="R77" i="11" s="1"/>
  <c r="P59" i="7"/>
  <c r="Q4" i="10"/>
  <c r="R4" i="10" s="1"/>
  <c r="P46" i="7"/>
  <c r="P110" i="7"/>
  <c r="P37" i="7"/>
  <c r="Q83" i="7" s="1"/>
  <c r="R83" i="7" s="1"/>
  <c r="Q25" i="5"/>
  <c r="R25" i="5" s="1"/>
  <c r="Q5" i="11"/>
  <c r="R5" i="11" s="1"/>
  <c r="P89" i="9"/>
  <c r="P129" i="9"/>
  <c r="Q46" i="10"/>
  <c r="R46" i="10" s="1"/>
  <c r="Q28" i="8"/>
  <c r="R28" i="8" s="1"/>
  <c r="Q27" i="7"/>
  <c r="R27" i="7" s="1"/>
  <c r="Q29" i="11"/>
  <c r="R29" i="11" s="1"/>
  <c r="Q80" i="8"/>
  <c r="R80" i="8" s="1"/>
  <c r="Q16" i="8"/>
  <c r="R16" i="8" s="1"/>
  <c r="P85" i="9"/>
  <c r="P21" i="9"/>
  <c r="P125" i="8"/>
  <c r="Q127" i="8" s="1"/>
  <c r="R127" i="8" s="1"/>
  <c r="Q28" i="9"/>
  <c r="R28" i="9" s="1"/>
  <c r="Q27" i="8"/>
  <c r="R27" i="8" s="1"/>
  <c r="P53" i="10"/>
  <c r="P84" i="10"/>
  <c r="Q43" i="10" s="1"/>
  <c r="R43" i="10" s="1"/>
  <c r="P49" i="6"/>
  <c r="P119" i="8"/>
  <c r="Q124" i="8" s="1"/>
  <c r="R124" i="8" s="1"/>
  <c r="P55" i="8"/>
  <c r="Q92" i="8" s="1"/>
  <c r="R92" i="8" s="1"/>
  <c r="Q85" i="11"/>
  <c r="R85" i="11" s="1"/>
  <c r="P63" i="8"/>
  <c r="P127" i="8"/>
  <c r="P67" i="5"/>
  <c r="P3" i="5"/>
  <c r="Q116" i="6"/>
  <c r="R116" i="6" s="1"/>
  <c r="Q49" i="5"/>
  <c r="R49" i="5" s="1"/>
  <c r="Q113" i="5"/>
  <c r="R113" i="5" s="1"/>
  <c r="Q10" i="11"/>
  <c r="R10" i="11" s="1"/>
  <c r="Q124" i="7"/>
  <c r="R124" i="7" s="1"/>
  <c r="Q60" i="7"/>
  <c r="R60" i="7" s="1"/>
  <c r="P102" i="6"/>
  <c r="Q52" i="6" s="1"/>
  <c r="R52" i="6" s="1"/>
  <c r="P38" i="6"/>
  <c r="P99" i="8"/>
  <c r="P35" i="8"/>
  <c r="P48" i="8"/>
  <c r="P112" i="8"/>
  <c r="Q30" i="11"/>
  <c r="R30" i="11" s="1"/>
  <c r="P22" i="9"/>
  <c r="P86" i="9"/>
  <c r="Q25" i="11"/>
  <c r="R25" i="11" s="1"/>
  <c r="Q17" i="7"/>
  <c r="R17" i="7" s="1"/>
  <c r="Q96" i="11"/>
  <c r="R96" i="11" s="1"/>
  <c r="Q6" i="5"/>
  <c r="R6" i="5" s="1"/>
  <c r="P93" i="10"/>
  <c r="P29" i="5"/>
  <c r="P93" i="5"/>
  <c r="Q2" i="6"/>
  <c r="R2" i="6" s="1"/>
  <c r="Q66" i="6"/>
  <c r="R66" i="6" s="1"/>
  <c r="P107" i="11"/>
  <c r="Q106" i="10"/>
  <c r="R106" i="10" s="1"/>
  <c r="Q42" i="10"/>
  <c r="R42" i="10" s="1"/>
  <c r="Q50" i="7"/>
  <c r="R50" i="7" s="1"/>
  <c r="Q24" i="11"/>
  <c r="R24" i="11" s="1"/>
  <c r="P45" i="9"/>
  <c r="P109" i="9"/>
  <c r="P8" i="9"/>
  <c r="Q5" i="9" s="1"/>
  <c r="R5" i="9" s="1"/>
  <c r="P72" i="9"/>
  <c r="Q37" i="9" s="1"/>
  <c r="R37" i="9" s="1"/>
  <c r="Q98" i="10"/>
  <c r="R98" i="10" s="1"/>
  <c r="P68" i="10"/>
  <c r="Q35" i="10" s="1"/>
  <c r="R35" i="10" s="1"/>
  <c r="Q29" i="9"/>
  <c r="R29" i="9" s="1"/>
  <c r="Q3" i="6"/>
  <c r="R3" i="6" s="1"/>
  <c r="P9" i="10"/>
  <c r="P73" i="10"/>
  <c r="P126" i="11"/>
  <c r="Q55" i="10"/>
  <c r="R55" i="10" s="1"/>
  <c r="P128" i="10"/>
  <c r="P64" i="10"/>
  <c r="P15" i="7"/>
  <c r="P79" i="7"/>
  <c r="Q104" i="7" s="1"/>
  <c r="R104" i="7" s="1"/>
  <c r="Q75" i="8"/>
  <c r="R75" i="8" s="1"/>
  <c r="Q99" i="7"/>
  <c r="R99" i="7" s="1"/>
  <c r="P37" i="5"/>
  <c r="Q83" i="5" s="1"/>
  <c r="R83" i="5" s="1"/>
  <c r="P94" i="7"/>
  <c r="Q48" i="7" s="1"/>
  <c r="R48" i="7" s="1"/>
  <c r="Q53" i="6"/>
  <c r="R53" i="6" s="1"/>
  <c r="Q11" i="5"/>
  <c r="R11" i="5" s="1"/>
  <c r="P118" i="5"/>
  <c r="P54" i="5"/>
  <c r="P83" i="5"/>
  <c r="Q106" i="5" s="1"/>
  <c r="R106" i="5" s="1"/>
  <c r="P19" i="5"/>
  <c r="Q74" i="5" s="1"/>
  <c r="R74" i="5" s="1"/>
  <c r="P110" i="5"/>
  <c r="P46" i="5"/>
  <c r="Q12" i="11"/>
  <c r="R12" i="11" s="1"/>
  <c r="P39" i="10"/>
  <c r="Q84" i="10" s="1"/>
  <c r="R84" i="10" s="1"/>
  <c r="P100" i="10"/>
  <c r="Q51" i="10" s="1"/>
  <c r="R51" i="10" s="1"/>
  <c r="Q125" i="11"/>
  <c r="R125" i="11" s="1"/>
  <c r="P92" i="10"/>
  <c r="Q47" i="10" s="1"/>
  <c r="R47" i="10" s="1"/>
  <c r="P28" i="10"/>
  <c r="Q15" i="10" s="1"/>
  <c r="R15" i="10" s="1"/>
  <c r="Q124" i="10"/>
  <c r="R124" i="10" s="1"/>
  <c r="Q113" i="9"/>
  <c r="R113" i="9" s="1"/>
  <c r="Q38" i="7"/>
  <c r="R38" i="7" s="1"/>
  <c r="P109" i="7"/>
  <c r="Q119" i="7" s="1"/>
  <c r="R119" i="7" s="1"/>
  <c r="P45" i="7"/>
  <c r="Q87" i="7" s="1"/>
  <c r="R87" i="7" s="1"/>
  <c r="P109" i="8"/>
  <c r="Q50" i="9"/>
  <c r="R50" i="9" s="1"/>
  <c r="Q96" i="5"/>
  <c r="R96" i="5" s="1"/>
  <c r="Q6" i="11"/>
  <c r="R6" i="11" s="1"/>
  <c r="Q93" i="8"/>
  <c r="R93" i="8" s="1"/>
  <c r="Q29" i="8"/>
  <c r="R29" i="8" s="1"/>
  <c r="Q80" i="7"/>
  <c r="R80" i="7" s="1"/>
  <c r="P49" i="10"/>
  <c r="P113" i="10"/>
  <c r="Q121" i="10" s="1"/>
  <c r="R121" i="10" s="1"/>
  <c r="Q121" i="9"/>
  <c r="R121" i="9" s="1"/>
  <c r="Q67" i="9"/>
  <c r="R67" i="9" s="1"/>
  <c r="P17" i="9"/>
  <c r="Q73" i="9" s="1"/>
  <c r="R73" i="9" s="1"/>
  <c r="P81" i="9"/>
  <c r="Q72" i="6"/>
  <c r="R72" i="6" s="1"/>
  <c r="Q81" i="11"/>
  <c r="R81" i="11" s="1"/>
  <c r="P21" i="10"/>
  <c r="Q75" i="10" s="1"/>
  <c r="R75" i="10" s="1"/>
  <c r="Q73" i="7"/>
  <c r="R73" i="7" s="1"/>
  <c r="P83" i="8"/>
  <c r="P19" i="8"/>
  <c r="Q106" i="7"/>
  <c r="R106" i="7" s="1"/>
  <c r="Q42" i="7"/>
  <c r="R42" i="7" s="1"/>
  <c r="Q41" i="7"/>
  <c r="R41" i="7" s="1"/>
  <c r="Q15" i="7"/>
  <c r="R15" i="7" s="1"/>
  <c r="Q28" i="6"/>
  <c r="R28" i="6" s="1"/>
  <c r="Q39" i="11"/>
  <c r="R39" i="11" s="1"/>
  <c r="Q103" i="11"/>
  <c r="R103" i="11" s="1"/>
  <c r="Q120" i="8"/>
  <c r="R120" i="8" s="1"/>
  <c r="Q23" i="7"/>
  <c r="R23" i="7" s="1"/>
  <c r="Q103" i="10"/>
  <c r="R103" i="10" s="1"/>
  <c r="Q36" i="11"/>
  <c r="R36" i="11" s="1"/>
  <c r="P37" i="10"/>
  <c r="Q83" i="10" s="1"/>
  <c r="R83" i="10" s="1"/>
  <c r="Q22" i="11"/>
  <c r="R22" i="11" s="1"/>
  <c r="Q57" i="10"/>
  <c r="R57" i="10" s="1"/>
  <c r="P35" i="11"/>
  <c r="Q82" i="11" s="1"/>
  <c r="R82" i="11" s="1"/>
  <c r="P99" i="11"/>
  <c r="Q32" i="10"/>
  <c r="R32" i="10" s="1"/>
  <c r="P35" i="7"/>
  <c r="Q96" i="7"/>
  <c r="R96" i="7" s="1"/>
  <c r="Q44" i="8"/>
  <c r="R44" i="8" s="1"/>
  <c r="Q94" i="10"/>
  <c r="R94" i="10" s="1"/>
  <c r="Q30" i="10"/>
  <c r="R30" i="10" s="1"/>
  <c r="Q103" i="8"/>
  <c r="R103" i="8" s="1"/>
  <c r="Q35" i="6"/>
  <c r="R35" i="6" s="1"/>
  <c r="P41" i="10"/>
  <c r="P105" i="10"/>
  <c r="Q87" i="5"/>
  <c r="R87" i="5" s="1"/>
  <c r="Q113" i="8"/>
  <c r="R113" i="8" s="1"/>
  <c r="Q18" i="6"/>
  <c r="R18" i="6" s="1"/>
  <c r="Q82" i="6"/>
  <c r="R82" i="6" s="1"/>
  <c r="Q62" i="7"/>
  <c r="R62" i="7" s="1"/>
  <c r="Q27" i="11"/>
  <c r="R27" i="11" s="1"/>
  <c r="Q91" i="11"/>
  <c r="R91" i="11" s="1"/>
  <c r="Q124" i="9"/>
  <c r="R124" i="9" s="1"/>
  <c r="Q48" i="11"/>
  <c r="R48" i="11" s="1"/>
  <c r="Q40" i="5"/>
  <c r="R40" i="5" s="1"/>
  <c r="Q104" i="5"/>
  <c r="R104" i="5" s="1"/>
  <c r="P15" i="10"/>
  <c r="P79" i="10"/>
  <c r="Q44" i="6"/>
  <c r="R44" i="6" s="1"/>
  <c r="P124" i="10"/>
  <c r="Q63" i="10" s="1"/>
  <c r="R63" i="10" s="1"/>
  <c r="P60" i="10"/>
  <c r="Q31" i="10" s="1"/>
  <c r="R31" i="10" s="1"/>
  <c r="Q19" i="7"/>
  <c r="R19" i="7" s="1"/>
  <c r="P44" i="8"/>
  <c r="Q23" i="8" s="1"/>
  <c r="R23" i="8" s="1"/>
  <c r="P108" i="8"/>
  <c r="Q55" i="8" s="1"/>
  <c r="R55" i="8" s="1"/>
  <c r="Q72" i="5"/>
  <c r="R72" i="5" s="1"/>
  <c r="P61" i="10"/>
  <c r="P77" i="7"/>
  <c r="Q103" i="7" s="1"/>
  <c r="R103" i="7" s="1"/>
  <c r="P13" i="7"/>
  <c r="Q91" i="5"/>
  <c r="R91" i="5" s="1"/>
  <c r="Q99" i="10"/>
  <c r="R99" i="10" s="1"/>
  <c r="Q38" i="11"/>
  <c r="R38" i="11" s="1"/>
  <c r="P17" i="10"/>
  <c r="Q73" i="10" s="1"/>
  <c r="R73" i="10" s="1"/>
  <c r="P81" i="10"/>
  <c r="Q30" i="8"/>
  <c r="R30" i="8" s="1"/>
  <c r="P51" i="7"/>
  <c r="P115" i="7"/>
  <c r="P117" i="7"/>
  <c r="P53" i="7"/>
  <c r="Q91" i="7" s="1"/>
  <c r="R91" i="7" s="1"/>
  <c r="Q113" i="11"/>
  <c r="R113" i="11" s="1"/>
  <c r="Q101" i="6"/>
  <c r="R101" i="6" s="1"/>
  <c r="Q106" i="6"/>
  <c r="R106" i="6" s="1"/>
  <c r="Q122" i="8"/>
  <c r="R122" i="8" s="1"/>
  <c r="Q58" i="8"/>
  <c r="R58" i="8" s="1"/>
  <c r="Q87" i="11"/>
  <c r="R87" i="11" s="1"/>
  <c r="Q71" i="7" l="1"/>
  <c r="R71" i="7" s="1"/>
  <c r="Q7" i="7"/>
  <c r="R7" i="7" s="1"/>
  <c r="Q13" i="11"/>
  <c r="R13" i="11" s="1"/>
  <c r="Q75" i="7"/>
  <c r="R75" i="7" s="1"/>
  <c r="Q11" i="7"/>
  <c r="R11" i="7" s="1"/>
  <c r="Q9" i="10"/>
  <c r="R9" i="10" s="1"/>
  <c r="Q123" i="7"/>
  <c r="R123" i="7" s="1"/>
  <c r="Q59" i="7"/>
  <c r="R59" i="7" s="1"/>
  <c r="Q101" i="9"/>
  <c r="R101" i="9" s="1"/>
  <c r="Q95" i="10"/>
  <c r="R95" i="10" s="1"/>
  <c r="Q45" i="11"/>
  <c r="R45" i="11" s="1"/>
  <c r="Q82" i="7"/>
  <c r="R82" i="7" s="1"/>
  <c r="Q18" i="7"/>
  <c r="R18" i="7" s="1"/>
  <c r="Q127" i="10"/>
  <c r="R127" i="10" s="1"/>
  <c r="Q33" i="10"/>
  <c r="R33" i="10" s="1"/>
  <c r="Q97" i="10"/>
  <c r="R97" i="10" s="1"/>
  <c r="Q79" i="5"/>
  <c r="R79" i="5" s="1"/>
  <c r="Q15" i="5"/>
  <c r="R15" i="5" s="1"/>
  <c r="Q44" i="9"/>
  <c r="R44" i="9" s="1"/>
  <c r="Q108" i="9"/>
  <c r="R108" i="9" s="1"/>
  <c r="Q114" i="8"/>
  <c r="R114" i="8" s="1"/>
  <c r="Q50" i="8"/>
  <c r="R50" i="8" s="1"/>
  <c r="Q19" i="5"/>
  <c r="R19" i="5" s="1"/>
  <c r="Q128" i="8"/>
  <c r="R128" i="8" s="1"/>
  <c r="Q64" i="8"/>
  <c r="R64" i="8" s="1"/>
  <c r="Q107" i="9"/>
  <c r="R107" i="9" s="1"/>
  <c r="Q43" i="9"/>
  <c r="R43" i="9" s="1"/>
  <c r="Q56" i="7"/>
  <c r="R56" i="7" s="1"/>
  <c r="Q120" i="7"/>
  <c r="R120" i="7" s="1"/>
  <c r="Q104" i="11"/>
  <c r="R104" i="11" s="1"/>
  <c r="Q40" i="11"/>
  <c r="R40" i="11" s="1"/>
  <c r="Q76" i="8"/>
  <c r="R76" i="8" s="1"/>
  <c r="Q12" i="8"/>
  <c r="R12" i="8" s="1"/>
  <c r="Q69" i="9"/>
  <c r="R69" i="9" s="1"/>
  <c r="Q35" i="8"/>
  <c r="R35" i="8" s="1"/>
  <c r="Q99" i="8"/>
  <c r="R99" i="8" s="1"/>
  <c r="Q110" i="7"/>
  <c r="R110" i="7" s="1"/>
  <c r="Q46" i="7"/>
  <c r="R46" i="7" s="1"/>
  <c r="Q127" i="9"/>
  <c r="R127" i="9" s="1"/>
  <c r="Q63" i="9"/>
  <c r="R63" i="9" s="1"/>
  <c r="Q66" i="7"/>
  <c r="R66" i="7" s="1"/>
  <c r="Q2" i="7"/>
  <c r="R2" i="7" s="1"/>
  <c r="Q100" i="9"/>
  <c r="R100" i="9" s="1"/>
  <c r="Q36" i="9"/>
  <c r="R36" i="9" s="1"/>
  <c r="Q69" i="7"/>
  <c r="R69" i="7" s="1"/>
  <c r="Q5" i="7"/>
  <c r="R5" i="7" s="1"/>
  <c r="Q29" i="6"/>
  <c r="R29" i="6" s="1"/>
  <c r="Q40" i="7"/>
  <c r="R40" i="7" s="1"/>
  <c r="Q79" i="10"/>
  <c r="R79" i="10" s="1"/>
  <c r="Q66" i="5"/>
  <c r="R66" i="5" s="1"/>
  <c r="Q2" i="5"/>
  <c r="R2" i="5" s="1"/>
  <c r="Q63" i="8"/>
  <c r="R63" i="8" s="1"/>
  <c r="Q52" i="5"/>
  <c r="R52" i="5" s="1"/>
  <c r="Q116" i="5"/>
  <c r="R116" i="5" s="1"/>
  <c r="Q72" i="7"/>
  <c r="R72" i="7" s="1"/>
  <c r="Q8" i="7"/>
  <c r="R8" i="7" s="1"/>
  <c r="Q82" i="8"/>
  <c r="R82" i="8" s="1"/>
  <c r="Q18" i="8"/>
  <c r="R18" i="8" s="1"/>
  <c r="Q98" i="5"/>
  <c r="R98" i="5" s="1"/>
  <c r="Q34" i="5"/>
  <c r="R34" i="5" s="1"/>
  <c r="Q75" i="9"/>
  <c r="R75" i="9" s="1"/>
  <c r="Q11" i="9"/>
  <c r="R11" i="9" s="1"/>
  <c r="Q49" i="10"/>
  <c r="R49" i="10" s="1"/>
  <c r="Q113" i="10"/>
  <c r="R113" i="10" s="1"/>
  <c r="Q39" i="7"/>
  <c r="R39" i="7" s="1"/>
  <c r="Q89" i="10"/>
  <c r="R89" i="10" s="1"/>
  <c r="Q25" i="10"/>
  <c r="R25" i="10" s="1"/>
  <c r="Q28" i="5"/>
  <c r="R28" i="5" s="1"/>
  <c r="Q92" i="5"/>
  <c r="R92" i="5" s="1"/>
  <c r="Q65" i="10"/>
  <c r="R65" i="10" s="1"/>
  <c r="Q129" i="10"/>
  <c r="R129" i="10" s="1"/>
  <c r="Q119" i="9"/>
  <c r="R119" i="9" s="1"/>
  <c r="Q55" i="9"/>
  <c r="R55" i="9" s="1"/>
  <c r="Q111" i="10"/>
  <c r="R111" i="10" s="1"/>
  <c r="Q12" i="9"/>
  <c r="R12" i="9" s="1"/>
  <c r="Q76" i="9"/>
  <c r="R76" i="9" s="1"/>
  <c r="Q20" i="6"/>
  <c r="R20" i="6" s="1"/>
  <c r="Q84" i="6"/>
  <c r="R84" i="6" s="1"/>
  <c r="Q96" i="8"/>
  <c r="R96" i="8" s="1"/>
  <c r="Q32" i="8"/>
  <c r="R32" i="8" s="1"/>
  <c r="Q91" i="10"/>
  <c r="R91" i="10" s="1"/>
  <c r="Q27" i="10"/>
  <c r="R27" i="10" s="1"/>
  <c r="Q129" i="9"/>
  <c r="R129" i="9" s="1"/>
  <c r="Q65" i="9"/>
  <c r="R65" i="9" s="1"/>
  <c r="Q24" i="7"/>
  <c r="R24" i="7" s="1"/>
  <c r="Q88" i="7"/>
  <c r="R88" i="7" s="1"/>
  <c r="Q28" i="10"/>
  <c r="R28" i="10" s="1"/>
  <c r="Q92" i="10"/>
  <c r="R92" i="10" s="1"/>
  <c r="Q91" i="9"/>
  <c r="R91" i="9" s="1"/>
  <c r="Q27" i="9"/>
  <c r="R27" i="9" s="1"/>
  <c r="Q3" i="8"/>
  <c r="R3" i="8" s="1"/>
  <c r="Q67" i="8"/>
  <c r="R67" i="8" s="1"/>
  <c r="Q18" i="11"/>
  <c r="R18" i="11" s="1"/>
  <c r="Q62" i="9"/>
  <c r="R62" i="9" s="1"/>
  <c r="Q126" i="9"/>
  <c r="R126" i="9" s="1"/>
  <c r="Q4" i="6"/>
  <c r="R4" i="6" s="1"/>
  <c r="Q68" i="6"/>
  <c r="R68" i="6" s="1"/>
  <c r="Q11" i="10"/>
  <c r="R11" i="10" s="1"/>
  <c r="Q106" i="9"/>
  <c r="R106" i="9" s="1"/>
  <c r="Q42" i="9"/>
  <c r="R42" i="9" s="1"/>
  <c r="Q58" i="9"/>
  <c r="R58" i="9" s="1"/>
  <c r="Q66" i="8"/>
  <c r="R66" i="8" s="1"/>
  <c r="Q2" i="8"/>
  <c r="R2" i="8" s="1"/>
  <c r="Q36" i="7"/>
  <c r="R36" i="7" s="1"/>
  <c r="Q100" i="7"/>
  <c r="R100" i="7" s="1"/>
  <c r="Q46" i="9"/>
  <c r="R46" i="9" s="1"/>
  <c r="Q110" i="9"/>
  <c r="R110" i="9" s="1"/>
  <c r="Q87" i="8"/>
  <c r="R87" i="8" s="1"/>
  <c r="Q105" i="10"/>
  <c r="R105" i="10" s="1"/>
  <c r="Q41" i="10"/>
  <c r="R41" i="10" s="1"/>
  <c r="Q25" i="8"/>
  <c r="R25" i="8" s="1"/>
  <c r="Q89" i="8"/>
  <c r="R89" i="8" s="1"/>
  <c r="Q39" i="5"/>
  <c r="R39" i="5" s="1"/>
  <c r="Q103" i="5"/>
  <c r="R103" i="5" s="1"/>
  <c r="Q69" i="10"/>
  <c r="R69" i="10" s="1"/>
  <c r="Q5" i="10"/>
  <c r="R5" i="10" s="1"/>
  <c r="Q111" i="5"/>
  <c r="R111" i="5" s="1"/>
  <c r="Q47" i="5"/>
  <c r="R47" i="5" s="1"/>
  <c r="Q89" i="6"/>
  <c r="R89" i="6" s="1"/>
  <c r="Q25" i="6"/>
  <c r="R25" i="6" s="1"/>
  <c r="Q72" i="11"/>
  <c r="R72" i="11" s="1"/>
  <c r="Q8" i="11"/>
  <c r="R8" i="11" s="1"/>
  <c r="Q90" i="7"/>
  <c r="R90" i="7" s="1"/>
  <c r="Q26" i="7"/>
  <c r="R26" i="7" s="1"/>
  <c r="Q104" i="10"/>
  <c r="R104" i="10" s="1"/>
  <c r="Q40" i="10"/>
  <c r="R40" i="10" s="1"/>
  <c r="Q81" i="10"/>
  <c r="R81" i="10" s="1"/>
  <c r="Q74" i="8"/>
  <c r="R74" i="8" s="1"/>
  <c r="Q10" i="8"/>
  <c r="R10" i="8" s="1"/>
  <c r="Q105" i="9"/>
  <c r="R105" i="9" s="1"/>
  <c r="Q119" i="8"/>
  <c r="R119" i="8" s="1"/>
  <c r="Q60" i="5"/>
  <c r="R60" i="5" s="1"/>
  <c r="Q124" i="5"/>
  <c r="R124" i="5" s="1"/>
  <c r="Q10" i="5"/>
  <c r="R10" i="5" s="1"/>
  <c r="Q35" i="5"/>
  <c r="R35" i="5" s="1"/>
  <c r="Q87" i="9"/>
  <c r="R87" i="9" s="1"/>
  <c r="Q23" i="9"/>
  <c r="R23" i="9" s="1"/>
  <c r="Q118" i="11"/>
  <c r="R118" i="11" s="1"/>
  <c r="Q54" i="11"/>
  <c r="R54" i="11" s="1"/>
  <c r="Q109" i="9"/>
  <c r="R109" i="9" s="1"/>
  <c r="Q45" i="9"/>
  <c r="R45" i="9" s="1"/>
  <c r="Q42" i="5"/>
  <c r="R42" i="5" s="1"/>
  <c r="Q9" i="9"/>
  <c r="R9" i="9" s="1"/>
  <c r="Q111" i="9"/>
  <c r="R111" i="9" s="1"/>
  <c r="Q47" i="9"/>
  <c r="R47" i="9" s="1"/>
  <c r="Q123" i="9"/>
  <c r="R123" i="9" s="1"/>
  <c r="Q59" i="9"/>
  <c r="R59" i="9" s="1"/>
  <c r="Q60" i="8"/>
  <c r="R60" i="8" s="1"/>
  <c r="Q36" i="6"/>
  <c r="R36" i="6" s="1"/>
  <c r="Q100" i="6"/>
  <c r="R100" i="6" s="1"/>
  <c r="Q112" i="7"/>
  <c r="R112" i="7" s="1"/>
  <c r="Q85" i="9"/>
  <c r="R85" i="9" s="1"/>
  <c r="Q21" i="9"/>
  <c r="R21" i="9" s="1"/>
  <c r="Q85" i="6"/>
  <c r="R85" i="6" s="1"/>
  <c r="Q21" i="6"/>
  <c r="R21" i="6" s="1"/>
  <c r="Q55" i="7"/>
  <c r="R55" i="7" s="1"/>
  <c r="Q85" i="10"/>
  <c r="R85" i="10" s="1"/>
  <c r="Q21" i="10"/>
  <c r="R21" i="10" s="1"/>
  <c r="Q56" i="5"/>
  <c r="R56" i="5" s="1"/>
  <c r="Q120" i="5"/>
  <c r="R120" i="5" s="1"/>
  <c r="Q101" i="10"/>
  <c r="R101" i="10" s="1"/>
  <c r="Q37" i="10"/>
  <c r="R37" i="10" s="1"/>
  <c r="Q113" i="7"/>
  <c r="R113" i="7" s="1"/>
  <c r="Q49" i="7"/>
  <c r="R49" i="7" s="1"/>
  <c r="Q78" i="7"/>
  <c r="R78" i="7" s="1"/>
  <c r="Q14" i="7"/>
  <c r="R14" i="7" s="1"/>
  <c r="Q101" i="7"/>
  <c r="R101" i="7" s="1"/>
  <c r="Q37" i="7"/>
  <c r="R37" i="7" s="1"/>
  <c r="Q122" i="7"/>
  <c r="R122" i="7" s="1"/>
  <c r="Q58" i="7"/>
  <c r="R58" i="7" s="1"/>
  <c r="Q7" i="8"/>
  <c r="R7" i="8" s="1"/>
  <c r="Q72" i="10"/>
  <c r="R72" i="10" s="1"/>
  <c r="Q8" i="10"/>
  <c r="R8" i="10" s="1"/>
  <c r="Q117" i="10"/>
  <c r="R117" i="10" s="1"/>
  <c r="Q53" i="10"/>
  <c r="R53" i="10" s="1"/>
  <c r="Q114" i="11"/>
  <c r="R114" i="11" s="1"/>
  <c r="Q50" i="11"/>
  <c r="R50" i="11" s="1"/>
  <c r="Q106" i="8"/>
  <c r="R106" i="8" s="1"/>
  <c r="Q42" i="8"/>
  <c r="R42" i="8" s="1"/>
  <c r="Q24" i="5"/>
  <c r="R24" i="5" s="1"/>
  <c r="Q88" i="5"/>
  <c r="R88" i="5" s="1"/>
  <c r="Q64" i="11"/>
  <c r="R64" i="11" s="1"/>
  <c r="Q128" i="11"/>
  <c r="R128" i="11" s="1"/>
  <c r="Q19" i="10"/>
  <c r="R19" i="10" s="1"/>
  <c r="Q57" i="8"/>
  <c r="R57" i="8" s="1"/>
  <c r="Q121" i="8"/>
  <c r="R121" i="8" s="1"/>
  <c r="Q94" i="7"/>
  <c r="R94" i="7" s="1"/>
  <c r="Q30" i="7"/>
  <c r="R30" i="7" s="1"/>
  <c r="Q7" i="5"/>
  <c r="R7" i="5" s="1"/>
  <c r="Q71" i="5"/>
  <c r="R71" i="5" s="1"/>
  <c r="Q20" i="5"/>
  <c r="R20" i="5" s="1"/>
  <c r="Q84" i="5"/>
  <c r="R84" i="5" s="1"/>
  <c r="Q20" i="10"/>
  <c r="R20" i="10" s="1"/>
  <c r="Q125" i="6"/>
  <c r="R125" i="6" s="1"/>
  <c r="Q61" i="6"/>
  <c r="R61" i="6" s="1"/>
  <c r="Q116" i="10"/>
  <c r="R116" i="10" s="1"/>
  <c r="Q95" i="7"/>
  <c r="R95" i="7" s="1"/>
  <c r="Q31" i="7"/>
  <c r="R31" i="7" s="1"/>
  <c r="Q36" i="10"/>
  <c r="R36" i="10" s="1"/>
  <c r="Q71" i="10"/>
  <c r="R71" i="10" s="1"/>
  <c r="Q106" i="11"/>
  <c r="R106" i="11" s="1"/>
  <c r="Q42" i="11"/>
  <c r="R42" i="11" s="1"/>
  <c r="Q107" i="10"/>
  <c r="R107" i="10" s="1"/>
</calcChain>
</file>

<file path=xl/sharedStrings.xml><?xml version="1.0" encoding="utf-8"?>
<sst xmlns="http://schemas.openxmlformats.org/spreadsheetml/2006/main" count="1649" uniqueCount="318">
  <si>
    <t>experimento</t>
  </si>
  <si>
    <t>etiqueta</t>
  </si>
  <si>
    <t>fotovoltaica</t>
  </si>
  <si>
    <t>eolica</t>
  </si>
  <si>
    <t>baterias</t>
  </si>
  <si>
    <t>desalacion</t>
  </si>
  <si>
    <t>min_run_hours</t>
  </si>
  <si>
    <t>midpoint</t>
  </si>
  <si>
    <t>overflow_threshold</t>
  </si>
  <si>
    <t>fotovoltaica_real</t>
  </si>
  <si>
    <t>eolica_real</t>
  </si>
  <si>
    <t>baterias_real</t>
  </si>
  <si>
    <t>desalacion_real</t>
  </si>
  <si>
    <t>min_run_hours_real</t>
  </si>
  <si>
    <t>midpoint_real</t>
  </si>
  <si>
    <t>overflow_threshold_real</t>
  </si>
  <si>
    <t>min_nivell</t>
  </si>
  <si>
    <t>termica_imports</t>
  </si>
  <si>
    <t>excedents</t>
  </si>
  <si>
    <t>costos</t>
  </si>
  <si>
    <t>factor_capacitat</t>
  </si>
  <si>
    <t>amplitud_estacional</t>
  </si>
  <si>
    <t>msd_nivell</t>
  </si>
  <si>
    <t>valido</t>
  </si>
  <si>
    <t>(1)</t>
  </si>
  <si>
    <t>a</t>
  </si>
  <si>
    <t>b</t>
  </si>
  <si>
    <t>ab</t>
  </si>
  <si>
    <t>c</t>
  </si>
  <si>
    <t>ac</t>
  </si>
  <si>
    <t>bc</t>
  </si>
  <si>
    <t>abc</t>
  </si>
  <si>
    <t>d</t>
  </si>
  <si>
    <t>ad</t>
  </si>
  <si>
    <t>bd</t>
  </si>
  <si>
    <t>abd</t>
  </si>
  <si>
    <t>cd</t>
  </si>
  <si>
    <t>acd</t>
  </si>
  <si>
    <t>bcd</t>
  </si>
  <si>
    <t>abcd</t>
  </si>
  <si>
    <t>e</t>
  </si>
  <si>
    <t>ae</t>
  </si>
  <si>
    <t>be</t>
  </si>
  <si>
    <t>abe</t>
  </si>
  <si>
    <t>ce</t>
  </si>
  <si>
    <t>ace</t>
  </si>
  <si>
    <t>bce</t>
  </si>
  <si>
    <t>abce</t>
  </si>
  <si>
    <t>de</t>
  </si>
  <si>
    <t>ade</t>
  </si>
  <si>
    <t>bde</t>
  </si>
  <si>
    <t>abde</t>
  </si>
  <si>
    <t>cde</t>
  </si>
  <si>
    <t>acde</t>
  </si>
  <si>
    <t>bcde</t>
  </si>
  <si>
    <t>abcde</t>
  </si>
  <si>
    <t>f</t>
  </si>
  <si>
    <t>af</t>
  </si>
  <si>
    <t>bf</t>
  </si>
  <si>
    <t>abf</t>
  </si>
  <si>
    <t>cf</t>
  </si>
  <si>
    <t>acf</t>
  </si>
  <si>
    <t>bcf</t>
  </si>
  <si>
    <t>abcf</t>
  </si>
  <si>
    <t>df</t>
  </si>
  <si>
    <t>adf</t>
  </si>
  <si>
    <t>bdf</t>
  </si>
  <si>
    <t>abdf</t>
  </si>
  <si>
    <t>cdf</t>
  </si>
  <si>
    <t>acdf</t>
  </si>
  <si>
    <t>bcdf</t>
  </si>
  <si>
    <t>abcdf</t>
  </si>
  <si>
    <t>ef</t>
  </si>
  <si>
    <t>aef</t>
  </si>
  <si>
    <t>bef</t>
  </si>
  <si>
    <t>abef</t>
  </si>
  <si>
    <t>cef</t>
  </si>
  <si>
    <t>acef</t>
  </si>
  <si>
    <t>bcef</t>
  </si>
  <si>
    <t>abcef</t>
  </si>
  <si>
    <t>def</t>
  </si>
  <si>
    <t>adef</t>
  </si>
  <si>
    <t>bdef</t>
  </si>
  <si>
    <t>abdef</t>
  </si>
  <si>
    <t>cdef</t>
  </si>
  <si>
    <t>acdef</t>
  </si>
  <si>
    <t>bcdef</t>
  </si>
  <si>
    <t>abcdef</t>
  </si>
  <si>
    <t>g</t>
  </si>
  <si>
    <t>ag</t>
  </si>
  <si>
    <t>bg</t>
  </si>
  <si>
    <t>abg</t>
  </si>
  <si>
    <t>cg</t>
  </si>
  <si>
    <t>acg</t>
  </si>
  <si>
    <t>bcg</t>
  </si>
  <si>
    <t>abcg</t>
  </si>
  <si>
    <t>dg</t>
  </si>
  <si>
    <t>adg</t>
  </si>
  <si>
    <t>bdg</t>
  </si>
  <si>
    <t>abdg</t>
  </si>
  <si>
    <t>cdg</t>
  </si>
  <si>
    <t>acdg</t>
  </si>
  <si>
    <t>bcdg</t>
  </si>
  <si>
    <t>abcdg</t>
  </si>
  <si>
    <t>eg</t>
  </si>
  <si>
    <t>aeg</t>
  </si>
  <si>
    <t>beg</t>
  </si>
  <si>
    <t>abeg</t>
  </si>
  <si>
    <t>ceg</t>
  </si>
  <si>
    <t>aceg</t>
  </si>
  <si>
    <t>bceg</t>
  </si>
  <si>
    <t>abceg</t>
  </si>
  <si>
    <t>deg</t>
  </si>
  <si>
    <t>adeg</t>
  </si>
  <si>
    <t>bdeg</t>
  </si>
  <si>
    <t>abdeg</t>
  </si>
  <si>
    <t>cdeg</t>
  </si>
  <si>
    <t>acdeg</t>
  </si>
  <si>
    <t>bcdeg</t>
  </si>
  <si>
    <t>abcdeg</t>
  </si>
  <si>
    <t>fg</t>
  </si>
  <si>
    <t>afg</t>
  </si>
  <si>
    <t>bfg</t>
  </si>
  <si>
    <t>abfg</t>
  </si>
  <si>
    <t>cfg</t>
  </si>
  <si>
    <t>acfg</t>
  </si>
  <si>
    <t>bcfg</t>
  </si>
  <si>
    <t>abcfg</t>
  </si>
  <si>
    <t>dfg</t>
  </si>
  <si>
    <t>adfg</t>
  </si>
  <si>
    <t>bdfg</t>
  </si>
  <si>
    <t>abdfg</t>
  </si>
  <si>
    <t>cdfg</t>
  </si>
  <si>
    <t>acdfg</t>
  </si>
  <si>
    <t>bcdfg</t>
  </si>
  <si>
    <t>abcdfg</t>
  </si>
  <si>
    <t>efg</t>
  </si>
  <si>
    <t>aefg</t>
  </si>
  <si>
    <t>befg</t>
  </si>
  <si>
    <t>abefg</t>
  </si>
  <si>
    <t>cefg</t>
  </si>
  <si>
    <t>acefg</t>
  </si>
  <si>
    <t>bcefg</t>
  </si>
  <si>
    <t>abcefg</t>
  </si>
  <si>
    <t>defg</t>
  </si>
  <si>
    <t>adefg</t>
  </si>
  <si>
    <t>bdefg</t>
  </si>
  <si>
    <t>abdefg</t>
  </si>
  <si>
    <t>cdefg</t>
  </si>
  <si>
    <t>acdefg</t>
  </si>
  <si>
    <t>bcdefg</t>
  </si>
  <si>
    <t>abcdefg</t>
  </si>
  <si>
    <t>A</t>
  </si>
  <si>
    <t>B</t>
  </si>
  <si>
    <t>C</t>
  </si>
  <si>
    <t>D</t>
  </si>
  <si>
    <t>E</t>
  </si>
  <si>
    <t>F</t>
  </si>
  <si>
    <t>G</t>
  </si>
  <si>
    <t>Objectiu</t>
  </si>
  <si>
    <t>AB</t>
  </si>
  <si>
    <t>AC</t>
  </si>
  <si>
    <t>AD</t>
  </si>
  <si>
    <t>AE</t>
  </si>
  <si>
    <t>AF</t>
  </si>
  <si>
    <t>AG</t>
  </si>
  <si>
    <t>BC</t>
  </si>
  <si>
    <t>BD</t>
  </si>
  <si>
    <t>BE</t>
  </si>
  <si>
    <t>BF</t>
  </si>
  <si>
    <t>BG</t>
  </si>
  <si>
    <t>CD</t>
  </si>
  <si>
    <t>CE</t>
  </si>
  <si>
    <t>CF</t>
  </si>
  <si>
    <t>CG</t>
  </si>
  <si>
    <t>DE</t>
  </si>
  <si>
    <t>DF</t>
  </si>
  <si>
    <t>DG</t>
  </si>
  <si>
    <t>EF</t>
  </si>
  <si>
    <t>EG</t>
  </si>
  <si>
    <t>FG</t>
  </si>
  <si>
    <t>fotovoltaica×eolica</t>
  </si>
  <si>
    <t>fotovoltaica×baterias</t>
  </si>
  <si>
    <t>fotovoltaica×desalacion</t>
  </si>
  <si>
    <t>fotovoltaica×min_run_hours</t>
  </si>
  <si>
    <t>fotovoltaica×midpoint</t>
  </si>
  <si>
    <t>fotovoltaica×overflow_threshold</t>
  </si>
  <si>
    <t>eolica×baterias</t>
  </si>
  <si>
    <t>eolica×desalacion</t>
  </si>
  <si>
    <t>eolica×min_run_hours</t>
  </si>
  <si>
    <t>eolica×midpoint</t>
  </si>
  <si>
    <t>eolica×overflow_threshold</t>
  </si>
  <si>
    <t>baterias×desalacion</t>
  </si>
  <si>
    <t>baterias×min_run_hours</t>
  </si>
  <si>
    <t>baterias×midpoint</t>
  </si>
  <si>
    <t>baterias×overflow_threshold</t>
  </si>
  <si>
    <t>desalacion×min_run_hours</t>
  </si>
  <si>
    <t>desalacion×midpoint</t>
  </si>
  <si>
    <t>desalacion×overflow_threshold</t>
  </si>
  <si>
    <t>min_run_hours×midpoint</t>
  </si>
  <si>
    <t>min_run_hours×overflow_threshold</t>
  </si>
  <si>
    <t>midpoint×overflow_threshold</t>
  </si>
  <si>
    <t>Ordre</t>
  </si>
  <si>
    <t>Etiqueta</t>
  </si>
  <si>
    <t>Resultat (y)</t>
  </si>
  <si>
    <t>Yates_1</t>
  </si>
  <si>
    <t>Yates_2</t>
  </si>
  <si>
    <t>Yates_3</t>
  </si>
  <si>
    <t>Yates_4</t>
  </si>
  <si>
    <t>Yates_5</t>
  </si>
  <si>
    <t>Yates_6</t>
  </si>
  <si>
    <t>Yates_7</t>
  </si>
  <si>
    <t>Efecte (Contrast)</t>
  </si>
  <si>
    <t>--- INTERACCIONS DE 2 FACTORS ---</t>
  </si>
  <si>
    <t>--- INTERACCIONS DE 3 FACTORS ---</t>
  </si>
  <si>
    <t>ABC</t>
  </si>
  <si>
    <t>ABD</t>
  </si>
  <si>
    <t>ABE</t>
  </si>
  <si>
    <t>ABF</t>
  </si>
  <si>
    <t>ABG</t>
  </si>
  <si>
    <t>ACD</t>
  </si>
  <si>
    <t>ACE</t>
  </si>
  <si>
    <t>ACF</t>
  </si>
  <si>
    <t>ACG</t>
  </si>
  <si>
    <t>ADE</t>
  </si>
  <si>
    <t>ADF</t>
  </si>
  <si>
    <t>ADG</t>
  </si>
  <si>
    <t>AEF</t>
  </si>
  <si>
    <t>AEG</t>
  </si>
  <si>
    <t>AFG</t>
  </si>
  <si>
    <t>BCD</t>
  </si>
  <si>
    <t>BCE</t>
  </si>
  <si>
    <t>BCF</t>
  </si>
  <si>
    <t>BCG</t>
  </si>
  <si>
    <t>BDE</t>
  </si>
  <si>
    <t>BDF</t>
  </si>
  <si>
    <t>BDG</t>
  </si>
  <si>
    <t>BEF</t>
  </si>
  <si>
    <t>BEG</t>
  </si>
  <si>
    <t>BFG</t>
  </si>
  <si>
    <t>CDE</t>
  </si>
  <si>
    <t>CDF</t>
  </si>
  <si>
    <t>CDG</t>
  </si>
  <si>
    <t>CEF</t>
  </si>
  <si>
    <t>CEG</t>
  </si>
  <si>
    <t>CFG</t>
  </si>
  <si>
    <t>DEF</t>
  </si>
  <si>
    <t>DEG</t>
  </si>
  <si>
    <t>DFG</t>
  </si>
  <si>
    <t>EFG</t>
  </si>
  <si>
    <t>--- INTERACCIONS DE 4 FACTORS ---</t>
  </si>
  <si>
    <t>ABCD</t>
  </si>
  <si>
    <t>ABCE</t>
  </si>
  <si>
    <t>ABCF</t>
  </si>
  <si>
    <t>ABCG</t>
  </si>
  <si>
    <t>ABDE</t>
  </si>
  <si>
    <t>ABDF</t>
  </si>
  <si>
    <t>ABDG</t>
  </si>
  <si>
    <t>ABEF</t>
  </si>
  <si>
    <t>ABEG</t>
  </si>
  <si>
    <t>ABFG</t>
  </si>
  <si>
    <t>ACDE</t>
  </si>
  <si>
    <t>ACDF</t>
  </si>
  <si>
    <t>ACDG</t>
  </si>
  <si>
    <t>ACEF</t>
  </si>
  <si>
    <t>ACEG</t>
  </si>
  <si>
    <t>ACFG</t>
  </si>
  <si>
    <t>ADEF</t>
  </si>
  <si>
    <t>ADEG</t>
  </si>
  <si>
    <t>ADFG</t>
  </si>
  <si>
    <t>AEFG</t>
  </si>
  <si>
    <t>BCDE</t>
  </si>
  <si>
    <t>BCDF</t>
  </si>
  <si>
    <t>BCDG</t>
  </si>
  <si>
    <t>BCEF</t>
  </si>
  <si>
    <t>BCEG</t>
  </si>
  <si>
    <t>BCFG</t>
  </si>
  <si>
    <t>BDEF</t>
  </si>
  <si>
    <t>BDEG</t>
  </si>
  <si>
    <t>BDFG</t>
  </si>
  <si>
    <t>BEFG</t>
  </si>
  <si>
    <t>CDEF</t>
  </si>
  <si>
    <t>CDEG</t>
  </si>
  <si>
    <t>CDFG</t>
  </si>
  <si>
    <t>CEFG</t>
  </si>
  <si>
    <t>DEFG</t>
  </si>
  <si>
    <t>--- INTERACCIONS DE 5 FACTORS ---</t>
  </si>
  <si>
    <t>ABCDE</t>
  </si>
  <si>
    <t>ABCDF</t>
  </si>
  <si>
    <t>ABCDG</t>
  </si>
  <si>
    <t>ABCEF</t>
  </si>
  <si>
    <t>ABCEG</t>
  </si>
  <si>
    <t>ABCFG</t>
  </si>
  <si>
    <t>ABDEF</t>
  </si>
  <si>
    <t>ABDEG</t>
  </si>
  <si>
    <t>ABDFG</t>
  </si>
  <si>
    <t>ABEFG</t>
  </si>
  <si>
    <t>ACDEF</t>
  </si>
  <si>
    <t>ACDEG</t>
  </si>
  <si>
    <t>ACDFG</t>
  </si>
  <si>
    <t>ACEFG</t>
  </si>
  <si>
    <t>ADEFG</t>
  </si>
  <si>
    <t>BCDEF</t>
  </si>
  <si>
    <t>BCDEG</t>
  </si>
  <si>
    <t>BCDFG</t>
  </si>
  <si>
    <t>BCEFG</t>
  </si>
  <si>
    <t>BDEFG</t>
  </si>
  <si>
    <t>CDEFG</t>
  </si>
  <si>
    <t>--- INTERACCIONS DE 6 FACTORS ---</t>
  </si>
  <si>
    <t>ABCDEF</t>
  </si>
  <si>
    <t>ABCDEG</t>
  </si>
  <si>
    <t>ABCDFG</t>
  </si>
  <si>
    <t>ABCEFG</t>
  </si>
  <si>
    <t>ABDEFG</t>
  </si>
  <si>
    <t>ACDEFG</t>
  </si>
  <si>
    <t>BCDEFG</t>
  </si>
  <si>
    <t>--- INTERACCIONS DE 7 FACTORS ---</t>
  </si>
  <si>
    <t>ABCDEFG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</si>
</sst>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E+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65" fontId="0" fillId="0" borderId="0" xfId="0" applyNumberFormat="1"/>
  </cellXfs>
  <cellStyles count="2">
    <cellStyle name="Normal" xfId="0" builtinId="0"/>
    <cellStyle name="Título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topLeftCell="A67" workbookViewId="0"/>
  </sheetViews>
  <sheetFormatPr baseColWidth="10" defaultColWidth="9.140625"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</v>
      </c>
      <c r="B2" t="s">
        <v>24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500</v>
      </c>
      <c r="K2">
        <v>1500</v>
      </c>
      <c r="L2">
        <v>500</v>
      </c>
      <c r="M2">
        <v>30</v>
      </c>
      <c r="N2">
        <v>6</v>
      </c>
      <c r="O2">
        <v>60</v>
      </c>
      <c r="P2">
        <v>75</v>
      </c>
      <c r="Q2">
        <v>8.0799761784373914</v>
      </c>
      <c r="R2">
        <v>84126259.35199818</v>
      </c>
      <c r="S2">
        <v>1213230.612327972</v>
      </c>
      <c r="T2">
        <v>2240322326.9893298</v>
      </c>
      <c r="U2">
        <v>19</v>
      </c>
      <c r="V2">
        <v>12.7</v>
      </c>
      <c r="W2">
        <v>2975.969910495558</v>
      </c>
      <c r="X2" t="b">
        <v>1</v>
      </c>
    </row>
    <row r="3" spans="1:24" x14ac:dyDescent="0.25">
      <c r="A3">
        <v>2</v>
      </c>
      <c r="B3" t="s">
        <v>25</v>
      </c>
      <c r="C3">
        <v>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5000</v>
      </c>
      <c r="K3">
        <v>1500</v>
      </c>
      <c r="L3">
        <v>500</v>
      </c>
      <c r="M3">
        <v>30</v>
      </c>
      <c r="N3">
        <v>6</v>
      </c>
      <c r="O3">
        <v>60</v>
      </c>
      <c r="P3">
        <v>75</v>
      </c>
      <c r="Q3">
        <v>9.5330672419537024</v>
      </c>
      <c r="R3">
        <v>44030996.907396004</v>
      </c>
      <c r="S3">
        <v>20537835.14332683</v>
      </c>
      <c r="T3">
        <v>6951647032.1746464</v>
      </c>
      <c r="U3">
        <v>26</v>
      </c>
      <c r="V3">
        <v>13.6</v>
      </c>
      <c r="W3">
        <v>2850.712010462802</v>
      </c>
      <c r="X3" t="b">
        <v>1</v>
      </c>
    </row>
    <row r="4" spans="1:24" x14ac:dyDescent="0.25">
      <c r="A4">
        <v>3</v>
      </c>
      <c r="B4" t="s">
        <v>26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500</v>
      </c>
      <c r="K4">
        <v>5000</v>
      </c>
      <c r="L4">
        <v>500</v>
      </c>
      <c r="M4">
        <v>30</v>
      </c>
      <c r="N4">
        <v>6</v>
      </c>
      <c r="O4">
        <v>60</v>
      </c>
      <c r="P4">
        <v>75</v>
      </c>
      <c r="Q4">
        <v>11.023441741258489</v>
      </c>
      <c r="R4">
        <v>18709411.44760669</v>
      </c>
      <c r="S4">
        <v>35074587.236641452</v>
      </c>
      <c r="T4">
        <v>9769408890.0874252</v>
      </c>
      <c r="U4">
        <v>34</v>
      </c>
      <c r="V4">
        <v>15.8</v>
      </c>
      <c r="W4">
        <v>2646.5228539095629</v>
      </c>
      <c r="X4" t="b">
        <v>1</v>
      </c>
    </row>
    <row r="5" spans="1:24" x14ac:dyDescent="0.25">
      <c r="A5">
        <v>4</v>
      </c>
      <c r="B5" t="s">
        <v>27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5000</v>
      </c>
      <c r="K5">
        <v>5000</v>
      </c>
      <c r="L5">
        <v>500</v>
      </c>
      <c r="M5">
        <v>30</v>
      </c>
      <c r="N5">
        <v>6</v>
      </c>
      <c r="O5">
        <v>60</v>
      </c>
      <c r="P5">
        <v>75</v>
      </c>
      <c r="Q5">
        <v>12.221368391421439</v>
      </c>
      <c r="R5">
        <v>6836850.7070305264</v>
      </c>
      <c r="S5">
        <v>83330776.475818992</v>
      </c>
      <c r="T5">
        <v>11605101861.50176</v>
      </c>
      <c r="U5">
        <v>42</v>
      </c>
      <c r="V5">
        <v>15.9</v>
      </c>
      <c r="W5">
        <v>2403.216608892747</v>
      </c>
      <c r="X5" t="b">
        <v>1</v>
      </c>
    </row>
    <row r="6" spans="1:24" x14ac:dyDescent="0.25">
      <c r="A6">
        <v>5</v>
      </c>
      <c r="B6" t="s">
        <v>28</v>
      </c>
      <c r="C6">
        <v>-1</v>
      </c>
      <c r="D6">
        <v>-1</v>
      </c>
      <c r="E6">
        <v>1</v>
      </c>
      <c r="F6">
        <v>-1</v>
      </c>
      <c r="G6">
        <v>-1</v>
      </c>
      <c r="H6">
        <v>-1</v>
      </c>
      <c r="I6">
        <v>-1</v>
      </c>
      <c r="J6">
        <v>500</v>
      </c>
      <c r="K6">
        <v>1500</v>
      </c>
      <c r="L6">
        <v>2000</v>
      </c>
      <c r="M6">
        <v>30</v>
      </c>
      <c r="N6">
        <v>6</v>
      </c>
      <c r="O6">
        <v>60</v>
      </c>
      <c r="P6">
        <v>75</v>
      </c>
      <c r="Q6">
        <v>7.8929024565949959</v>
      </c>
      <c r="R6">
        <v>83660321.628851131</v>
      </c>
      <c r="S6">
        <v>667081.72362920945</v>
      </c>
      <c r="T6">
        <v>2966990372.6944981</v>
      </c>
      <c r="U6">
        <v>18</v>
      </c>
      <c r="V6">
        <v>12.7</v>
      </c>
      <c r="W6">
        <v>2984.779719191215</v>
      </c>
      <c r="X6" t="b">
        <v>1</v>
      </c>
    </row>
    <row r="7" spans="1:24" x14ac:dyDescent="0.25">
      <c r="A7">
        <v>6</v>
      </c>
      <c r="B7" t="s">
        <v>29</v>
      </c>
      <c r="C7">
        <v>1</v>
      </c>
      <c r="D7">
        <v>-1</v>
      </c>
      <c r="E7">
        <v>1</v>
      </c>
      <c r="F7">
        <v>-1</v>
      </c>
      <c r="G7">
        <v>-1</v>
      </c>
      <c r="H7">
        <v>-1</v>
      </c>
      <c r="I7">
        <v>-1</v>
      </c>
      <c r="J7">
        <v>5000</v>
      </c>
      <c r="K7">
        <v>1500</v>
      </c>
      <c r="L7">
        <v>2000</v>
      </c>
      <c r="M7">
        <v>30</v>
      </c>
      <c r="N7">
        <v>6</v>
      </c>
      <c r="O7">
        <v>60</v>
      </c>
      <c r="P7">
        <v>75</v>
      </c>
      <c r="Q7">
        <v>8.6721691970635675</v>
      </c>
      <c r="R7">
        <v>38154302.420905083</v>
      </c>
      <c r="S7">
        <v>13394637.68010986</v>
      </c>
      <c r="T7">
        <v>8247453957.5387859</v>
      </c>
      <c r="U7">
        <v>21</v>
      </c>
      <c r="V7">
        <v>14.5</v>
      </c>
      <c r="W7">
        <v>2855.6864208572729</v>
      </c>
      <c r="X7" t="b">
        <v>1</v>
      </c>
    </row>
    <row r="8" spans="1:24" x14ac:dyDescent="0.25">
      <c r="A8">
        <v>7</v>
      </c>
      <c r="B8" t="s">
        <v>30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500</v>
      </c>
      <c r="K8">
        <v>5000</v>
      </c>
      <c r="L8">
        <v>2000</v>
      </c>
      <c r="M8">
        <v>30</v>
      </c>
      <c r="N8">
        <v>6</v>
      </c>
      <c r="O8">
        <v>60</v>
      </c>
      <c r="P8">
        <v>75</v>
      </c>
      <c r="Q8">
        <v>10.69394399794227</v>
      </c>
      <c r="R8">
        <v>16603348.3104262</v>
      </c>
      <c r="S8">
        <v>32567617.697585769</v>
      </c>
      <c r="T8">
        <v>10682016016.35836</v>
      </c>
      <c r="U8">
        <v>31</v>
      </c>
      <c r="V8">
        <v>15.9</v>
      </c>
      <c r="W8">
        <v>2656.4733082094208</v>
      </c>
      <c r="X8" t="b">
        <v>1</v>
      </c>
    </row>
    <row r="9" spans="1:24" x14ac:dyDescent="0.25">
      <c r="A9">
        <v>8</v>
      </c>
      <c r="B9" t="s">
        <v>31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-1</v>
      </c>
      <c r="J9">
        <v>5000</v>
      </c>
      <c r="K9">
        <v>5000</v>
      </c>
      <c r="L9">
        <v>2000</v>
      </c>
      <c r="M9">
        <v>30</v>
      </c>
      <c r="N9">
        <v>6</v>
      </c>
      <c r="O9">
        <v>60</v>
      </c>
      <c r="P9">
        <v>75</v>
      </c>
      <c r="Q9">
        <v>11.81111174957357</v>
      </c>
      <c r="R9">
        <v>4647474.8172167325</v>
      </c>
      <c r="S9">
        <v>80712721.662692457</v>
      </c>
      <c r="T9">
        <v>12485980958.13966</v>
      </c>
      <c r="U9">
        <v>38</v>
      </c>
      <c r="V9">
        <v>14.9</v>
      </c>
      <c r="W9">
        <v>2285.2291470827749</v>
      </c>
      <c r="X9" t="b">
        <v>1</v>
      </c>
    </row>
    <row r="10" spans="1:24" x14ac:dyDescent="0.25">
      <c r="A10">
        <v>9</v>
      </c>
      <c r="B10" t="s">
        <v>32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500</v>
      </c>
      <c r="K10">
        <v>1500</v>
      </c>
      <c r="L10">
        <v>500</v>
      </c>
      <c r="M10">
        <v>60</v>
      </c>
      <c r="N10">
        <v>6</v>
      </c>
      <c r="O10">
        <v>60</v>
      </c>
      <c r="P10">
        <v>75</v>
      </c>
      <c r="Q10">
        <v>10.423174783128321</v>
      </c>
      <c r="R10">
        <v>84108915.833056957</v>
      </c>
      <c r="S10">
        <v>1173944.972300167</v>
      </c>
      <c r="T10">
        <v>2235732403.260076</v>
      </c>
      <c r="U10">
        <v>19</v>
      </c>
      <c r="V10">
        <v>12.4</v>
      </c>
      <c r="W10">
        <v>2787.0769433848441</v>
      </c>
      <c r="X10" t="b">
        <v>1</v>
      </c>
    </row>
    <row r="11" spans="1:24" x14ac:dyDescent="0.25">
      <c r="A11">
        <v>10</v>
      </c>
      <c r="B11" t="s">
        <v>33</v>
      </c>
      <c r="C11">
        <v>1</v>
      </c>
      <c r="D11">
        <v>-1</v>
      </c>
      <c r="E11">
        <v>-1</v>
      </c>
      <c r="F11">
        <v>1</v>
      </c>
      <c r="G11">
        <v>-1</v>
      </c>
      <c r="H11">
        <v>-1</v>
      </c>
      <c r="I11">
        <v>-1</v>
      </c>
      <c r="J11">
        <v>5000</v>
      </c>
      <c r="K11">
        <v>1500</v>
      </c>
      <c r="L11">
        <v>500</v>
      </c>
      <c r="M11">
        <v>60</v>
      </c>
      <c r="N11">
        <v>6</v>
      </c>
      <c r="O11">
        <v>60</v>
      </c>
      <c r="P11">
        <v>75</v>
      </c>
      <c r="Q11">
        <v>11.774664166275871</v>
      </c>
      <c r="R11">
        <v>44012346.542536348</v>
      </c>
      <c r="S11">
        <v>20278965.57314723</v>
      </c>
      <c r="T11">
        <v>6857774574.730257</v>
      </c>
      <c r="U11">
        <v>25</v>
      </c>
      <c r="V11">
        <v>13.6</v>
      </c>
      <c r="W11">
        <v>2601.503229380543</v>
      </c>
      <c r="X11" t="b">
        <v>1</v>
      </c>
    </row>
    <row r="12" spans="1:24" x14ac:dyDescent="0.25">
      <c r="A12">
        <v>11</v>
      </c>
      <c r="B12" t="s">
        <v>34</v>
      </c>
      <c r="C12">
        <v>-1</v>
      </c>
      <c r="D12">
        <v>1</v>
      </c>
      <c r="E12">
        <v>-1</v>
      </c>
      <c r="F12">
        <v>1</v>
      </c>
      <c r="G12">
        <v>-1</v>
      </c>
      <c r="H12">
        <v>-1</v>
      </c>
      <c r="I12">
        <v>-1</v>
      </c>
      <c r="J12">
        <v>500</v>
      </c>
      <c r="K12">
        <v>5000</v>
      </c>
      <c r="L12">
        <v>500</v>
      </c>
      <c r="M12">
        <v>60</v>
      </c>
      <c r="N12">
        <v>6</v>
      </c>
      <c r="O12">
        <v>60</v>
      </c>
      <c r="P12">
        <v>75</v>
      </c>
      <c r="Q12">
        <v>15.129149093287641</v>
      </c>
      <c r="R12">
        <v>18680237.566553868</v>
      </c>
      <c r="S12">
        <v>34541360.514346942</v>
      </c>
      <c r="T12">
        <v>9605022651.5169125</v>
      </c>
      <c r="U12">
        <v>34</v>
      </c>
      <c r="V12">
        <v>16.899999999999999</v>
      </c>
      <c r="W12">
        <v>2364.942942023386</v>
      </c>
      <c r="X12" t="b">
        <v>1</v>
      </c>
    </row>
    <row r="13" spans="1:24" x14ac:dyDescent="0.25">
      <c r="A13">
        <v>12</v>
      </c>
      <c r="B13" t="s">
        <v>35</v>
      </c>
      <c r="C13">
        <v>1</v>
      </c>
      <c r="D13">
        <v>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5000</v>
      </c>
      <c r="K13">
        <v>5000</v>
      </c>
      <c r="L13">
        <v>500</v>
      </c>
      <c r="M13">
        <v>60</v>
      </c>
      <c r="N13">
        <v>6</v>
      </c>
      <c r="O13">
        <v>60</v>
      </c>
      <c r="P13">
        <v>75</v>
      </c>
      <c r="Q13">
        <v>20.620257891986871</v>
      </c>
      <c r="R13">
        <v>6807527.5053437008</v>
      </c>
      <c r="S13">
        <v>82575991.396384776</v>
      </c>
      <c r="T13">
        <v>11328182799.89592</v>
      </c>
      <c r="U13">
        <v>40</v>
      </c>
      <c r="V13">
        <v>16.5</v>
      </c>
      <c r="W13">
        <v>2018.895371245768</v>
      </c>
      <c r="X13" t="b">
        <v>1</v>
      </c>
    </row>
    <row r="14" spans="1:24" x14ac:dyDescent="0.25">
      <c r="A14">
        <v>13</v>
      </c>
      <c r="B14" t="s">
        <v>36</v>
      </c>
      <c r="C14">
        <v>-1</v>
      </c>
      <c r="D14">
        <v>-1</v>
      </c>
      <c r="E14">
        <v>1</v>
      </c>
      <c r="F14">
        <v>1</v>
      </c>
      <c r="G14">
        <v>-1</v>
      </c>
      <c r="H14">
        <v>-1</v>
      </c>
      <c r="I14">
        <v>-1</v>
      </c>
      <c r="J14">
        <v>500</v>
      </c>
      <c r="K14">
        <v>1500</v>
      </c>
      <c r="L14">
        <v>2000</v>
      </c>
      <c r="M14">
        <v>60</v>
      </c>
      <c r="N14">
        <v>6</v>
      </c>
      <c r="O14">
        <v>60</v>
      </c>
      <c r="P14">
        <v>75</v>
      </c>
      <c r="Q14">
        <v>10.2714141848182</v>
      </c>
      <c r="R14">
        <v>83643186.652874172</v>
      </c>
      <c r="S14">
        <v>651005.87978229695</v>
      </c>
      <c r="T14">
        <v>2973325154.1085248</v>
      </c>
      <c r="U14">
        <v>18</v>
      </c>
      <c r="V14">
        <v>12.4</v>
      </c>
      <c r="W14">
        <v>2800.8853464023309</v>
      </c>
      <c r="X14" t="b">
        <v>1</v>
      </c>
    </row>
    <row r="15" spans="1:24" x14ac:dyDescent="0.25">
      <c r="A15">
        <v>14</v>
      </c>
      <c r="B15" t="s">
        <v>37</v>
      </c>
      <c r="C15">
        <v>1</v>
      </c>
      <c r="D15">
        <v>-1</v>
      </c>
      <c r="E15">
        <v>1</v>
      </c>
      <c r="F15">
        <v>1</v>
      </c>
      <c r="G15">
        <v>-1</v>
      </c>
      <c r="H15">
        <v>-1</v>
      </c>
      <c r="I15">
        <v>-1</v>
      </c>
      <c r="J15">
        <v>5000</v>
      </c>
      <c r="K15">
        <v>1500</v>
      </c>
      <c r="L15">
        <v>2000</v>
      </c>
      <c r="M15">
        <v>60</v>
      </c>
      <c r="N15">
        <v>6</v>
      </c>
      <c r="O15">
        <v>60</v>
      </c>
      <c r="P15">
        <v>75</v>
      </c>
      <c r="Q15">
        <v>10.73896266789659</v>
      </c>
      <c r="R15">
        <v>38137331.484798707</v>
      </c>
      <c r="S15">
        <v>13275284.39697242</v>
      </c>
      <c r="T15">
        <v>8209471415.9722509</v>
      </c>
      <c r="U15">
        <v>21</v>
      </c>
      <c r="V15">
        <v>14.5</v>
      </c>
      <c r="W15">
        <v>2642.749674885325</v>
      </c>
      <c r="X15" t="b">
        <v>1</v>
      </c>
    </row>
    <row r="16" spans="1:24" x14ac:dyDescent="0.25">
      <c r="A16">
        <v>15</v>
      </c>
      <c r="B16" t="s">
        <v>38</v>
      </c>
      <c r="C16">
        <v>-1</v>
      </c>
      <c r="D16">
        <v>1</v>
      </c>
      <c r="E16">
        <v>1</v>
      </c>
      <c r="F16">
        <v>1</v>
      </c>
      <c r="G16">
        <v>-1</v>
      </c>
      <c r="H16">
        <v>-1</v>
      </c>
      <c r="I16">
        <v>-1</v>
      </c>
      <c r="J16">
        <v>500</v>
      </c>
      <c r="K16">
        <v>5000</v>
      </c>
      <c r="L16">
        <v>2000</v>
      </c>
      <c r="M16">
        <v>60</v>
      </c>
      <c r="N16">
        <v>6</v>
      </c>
      <c r="O16">
        <v>60</v>
      </c>
      <c r="P16">
        <v>75</v>
      </c>
      <c r="Q16">
        <v>13.73501811820957</v>
      </c>
      <c r="R16">
        <v>16576480.764872519</v>
      </c>
      <c r="S16">
        <v>32123906.631836329</v>
      </c>
      <c r="T16">
        <v>10559389439.361851</v>
      </c>
      <c r="U16">
        <v>31</v>
      </c>
      <c r="V16">
        <v>16.7</v>
      </c>
      <c r="W16">
        <v>2409.7151759998169</v>
      </c>
      <c r="X16" t="b">
        <v>1</v>
      </c>
    </row>
    <row r="17" spans="1:24" x14ac:dyDescent="0.25">
      <c r="A17">
        <v>16</v>
      </c>
      <c r="B17" t="s">
        <v>39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5000</v>
      </c>
      <c r="K17">
        <v>5000</v>
      </c>
      <c r="L17">
        <v>2000</v>
      </c>
      <c r="M17">
        <v>60</v>
      </c>
      <c r="N17">
        <v>6</v>
      </c>
      <c r="O17">
        <v>60</v>
      </c>
      <c r="P17">
        <v>75</v>
      </c>
      <c r="Q17">
        <v>19.613174874036641</v>
      </c>
      <c r="R17">
        <v>4640286.5078578349</v>
      </c>
      <c r="S17">
        <v>80069750.43235296</v>
      </c>
      <c r="T17">
        <v>12206691208.723049</v>
      </c>
      <c r="U17">
        <v>37</v>
      </c>
      <c r="V17">
        <v>15.5</v>
      </c>
      <c r="W17">
        <v>1909.31789478111</v>
      </c>
      <c r="X17" t="b">
        <v>1</v>
      </c>
    </row>
    <row r="18" spans="1:24" x14ac:dyDescent="0.25">
      <c r="A18">
        <v>17</v>
      </c>
      <c r="B18" t="s">
        <v>40</v>
      </c>
      <c r="C18">
        <v>-1</v>
      </c>
      <c r="D18">
        <v>-1</v>
      </c>
      <c r="E18">
        <v>-1</v>
      </c>
      <c r="F18">
        <v>-1</v>
      </c>
      <c r="G18">
        <v>1</v>
      </c>
      <c r="H18">
        <v>-1</v>
      </c>
      <c r="I18">
        <v>-1</v>
      </c>
      <c r="J18">
        <v>500</v>
      </c>
      <c r="K18">
        <v>1500</v>
      </c>
      <c r="L18">
        <v>500</v>
      </c>
      <c r="M18">
        <v>30</v>
      </c>
      <c r="N18">
        <v>12</v>
      </c>
      <c r="O18">
        <v>60</v>
      </c>
      <c r="P18">
        <v>75</v>
      </c>
      <c r="Q18">
        <v>7.9925991424792784</v>
      </c>
      <c r="R18">
        <v>84126417.061462492</v>
      </c>
      <c r="S18">
        <v>1222105.0150293</v>
      </c>
      <c r="T18">
        <v>2246692780.0836191</v>
      </c>
      <c r="U18">
        <v>18</v>
      </c>
      <c r="V18">
        <v>12.7</v>
      </c>
      <c r="W18">
        <v>2981.9191158690828</v>
      </c>
      <c r="X18" t="b">
        <v>1</v>
      </c>
    </row>
    <row r="19" spans="1:24" x14ac:dyDescent="0.25">
      <c r="A19">
        <v>18</v>
      </c>
      <c r="B19" t="s">
        <v>41</v>
      </c>
      <c r="C19">
        <v>1</v>
      </c>
      <c r="D19">
        <v>-1</v>
      </c>
      <c r="E19">
        <v>-1</v>
      </c>
      <c r="F19">
        <v>-1</v>
      </c>
      <c r="G19">
        <v>1</v>
      </c>
      <c r="H19">
        <v>-1</v>
      </c>
      <c r="I19">
        <v>-1</v>
      </c>
      <c r="J19">
        <v>5000</v>
      </c>
      <c r="K19">
        <v>1500</v>
      </c>
      <c r="L19">
        <v>500</v>
      </c>
      <c r="M19">
        <v>30</v>
      </c>
      <c r="N19">
        <v>12</v>
      </c>
      <c r="O19">
        <v>60</v>
      </c>
      <c r="P19">
        <v>75</v>
      </c>
      <c r="Q19">
        <v>8.3329538233358278</v>
      </c>
      <c r="R19">
        <v>44034309.304874972</v>
      </c>
      <c r="S19">
        <v>20675745.90399462</v>
      </c>
      <c r="T19">
        <v>7033802149.0088911</v>
      </c>
      <c r="U19">
        <v>19</v>
      </c>
      <c r="V19">
        <v>13.7</v>
      </c>
      <c r="W19">
        <v>2930.7955151848792</v>
      </c>
      <c r="X19" t="b">
        <v>1</v>
      </c>
    </row>
    <row r="20" spans="1:24" x14ac:dyDescent="0.25">
      <c r="A20">
        <v>19</v>
      </c>
      <c r="B20" t="s">
        <v>42</v>
      </c>
      <c r="C20">
        <v>-1</v>
      </c>
      <c r="D20">
        <v>1</v>
      </c>
      <c r="E20">
        <v>-1</v>
      </c>
      <c r="F20">
        <v>-1</v>
      </c>
      <c r="G20">
        <v>1</v>
      </c>
      <c r="H20">
        <v>-1</v>
      </c>
      <c r="I20">
        <v>-1</v>
      </c>
      <c r="J20">
        <v>500</v>
      </c>
      <c r="K20">
        <v>5000</v>
      </c>
      <c r="L20">
        <v>500</v>
      </c>
      <c r="M20">
        <v>30</v>
      </c>
      <c r="N20">
        <v>12</v>
      </c>
      <c r="O20">
        <v>60</v>
      </c>
      <c r="P20">
        <v>75</v>
      </c>
      <c r="Q20">
        <v>10.65350888824601</v>
      </c>
      <c r="R20">
        <v>18710995.879794318</v>
      </c>
      <c r="S20">
        <v>35148228.393926859</v>
      </c>
      <c r="T20">
        <v>9814455087.3927765</v>
      </c>
      <c r="U20">
        <v>31</v>
      </c>
      <c r="V20">
        <v>15.6</v>
      </c>
      <c r="W20">
        <v>2677.9013189281118</v>
      </c>
      <c r="X20" t="b">
        <v>1</v>
      </c>
    </row>
    <row r="21" spans="1:24" x14ac:dyDescent="0.25">
      <c r="A21">
        <v>20</v>
      </c>
      <c r="B21" t="s">
        <v>43</v>
      </c>
      <c r="C21">
        <v>1</v>
      </c>
      <c r="D21">
        <v>1</v>
      </c>
      <c r="E21">
        <v>-1</v>
      </c>
      <c r="F21">
        <v>-1</v>
      </c>
      <c r="G21">
        <v>1</v>
      </c>
      <c r="H21">
        <v>-1</v>
      </c>
      <c r="I21">
        <v>-1</v>
      </c>
      <c r="J21">
        <v>5000</v>
      </c>
      <c r="K21">
        <v>5000</v>
      </c>
      <c r="L21">
        <v>500</v>
      </c>
      <c r="M21">
        <v>30</v>
      </c>
      <c r="N21">
        <v>12</v>
      </c>
      <c r="O21">
        <v>60</v>
      </c>
      <c r="P21">
        <v>75</v>
      </c>
      <c r="Q21">
        <v>11.190765685094361</v>
      </c>
      <c r="R21">
        <v>6840044.1163305528</v>
      </c>
      <c r="S21">
        <v>83456701.416804135</v>
      </c>
      <c r="T21">
        <v>11679862769.911249</v>
      </c>
      <c r="U21">
        <v>36</v>
      </c>
      <c r="V21">
        <v>15.8</v>
      </c>
      <c r="W21">
        <v>2460.47707383541</v>
      </c>
      <c r="X21" t="b">
        <v>1</v>
      </c>
    </row>
    <row r="22" spans="1:24" x14ac:dyDescent="0.25">
      <c r="A22">
        <v>21</v>
      </c>
      <c r="B22" t="s">
        <v>44</v>
      </c>
      <c r="C22">
        <v>-1</v>
      </c>
      <c r="D22">
        <v>-1</v>
      </c>
      <c r="E22">
        <v>1</v>
      </c>
      <c r="F22">
        <v>-1</v>
      </c>
      <c r="G22">
        <v>1</v>
      </c>
      <c r="H22">
        <v>-1</v>
      </c>
      <c r="I22">
        <v>-1</v>
      </c>
      <c r="J22">
        <v>500</v>
      </c>
      <c r="K22">
        <v>1500</v>
      </c>
      <c r="L22">
        <v>2000</v>
      </c>
      <c r="M22">
        <v>30</v>
      </c>
      <c r="N22">
        <v>12</v>
      </c>
      <c r="O22">
        <v>60</v>
      </c>
      <c r="P22">
        <v>75</v>
      </c>
      <c r="Q22">
        <v>7.8692564580567819</v>
      </c>
      <c r="R22">
        <v>83660344.930378333</v>
      </c>
      <c r="S22">
        <v>669457.52012121154</v>
      </c>
      <c r="T22">
        <v>2968971492.1199031</v>
      </c>
      <c r="U22">
        <v>18</v>
      </c>
      <c r="V22">
        <v>12.7</v>
      </c>
      <c r="W22">
        <v>2986.6083109959518</v>
      </c>
      <c r="X22" t="b">
        <v>1</v>
      </c>
    </row>
    <row r="23" spans="1:24" x14ac:dyDescent="0.25">
      <c r="A23">
        <v>22</v>
      </c>
      <c r="B23" t="s">
        <v>45</v>
      </c>
      <c r="C23">
        <v>1</v>
      </c>
      <c r="D23">
        <v>-1</v>
      </c>
      <c r="E23">
        <v>1</v>
      </c>
      <c r="F23">
        <v>-1</v>
      </c>
      <c r="G23">
        <v>1</v>
      </c>
      <c r="H23">
        <v>-1</v>
      </c>
      <c r="I23">
        <v>-1</v>
      </c>
      <c r="J23">
        <v>5000</v>
      </c>
      <c r="K23">
        <v>1500</v>
      </c>
      <c r="L23">
        <v>2000</v>
      </c>
      <c r="M23">
        <v>30</v>
      </c>
      <c r="N23">
        <v>12</v>
      </c>
      <c r="O23">
        <v>60</v>
      </c>
      <c r="P23">
        <v>75</v>
      </c>
      <c r="Q23">
        <v>8.2230672980978454</v>
      </c>
      <c r="R23">
        <v>38154924.907051846</v>
      </c>
      <c r="S23">
        <v>13444373.51806418</v>
      </c>
      <c r="T23">
        <v>8287116217.8782616</v>
      </c>
      <c r="U23">
        <v>19</v>
      </c>
      <c r="V23">
        <v>14.6</v>
      </c>
      <c r="W23">
        <v>2887.1541860085431</v>
      </c>
      <c r="X23" t="b">
        <v>1</v>
      </c>
    </row>
    <row r="24" spans="1:24" x14ac:dyDescent="0.25">
      <c r="A24">
        <v>23</v>
      </c>
      <c r="B24" t="s">
        <v>46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500</v>
      </c>
      <c r="K24">
        <v>5000</v>
      </c>
      <c r="L24">
        <v>2000</v>
      </c>
      <c r="M24">
        <v>30</v>
      </c>
      <c r="N24">
        <v>12</v>
      </c>
      <c r="O24">
        <v>60</v>
      </c>
      <c r="P24">
        <v>75</v>
      </c>
      <c r="Q24">
        <v>10.24918356741181</v>
      </c>
      <c r="R24">
        <v>16604428.04016388</v>
      </c>
      <c r="S24">
        <v>32617072.65813997</v>
      </c>
      <c r="T24">
        <v>10707404459.525049</v>
      </c>
      <c r="U24">
        <v>29</v>
      </c>
      <c r="V24">
        <v>15.8</v>
      </c>
      <c r="W24">
        <v>2681.8358645373492</v>
      </c>
      <c r="X24" t="b">
        <v>1</v>
      </c>
    </row>
    <row r="25" spans="1:24" x14ac:dyDescent="0.25">
      <c r="A25">
        <v>24</v>
      </c>
      <c r="B25"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5000</v>
      </c>
      <c r="K25">
        <v>5000</v>
      </c>
      <c r="L25">
        <v>2000</v>
      </c>
      <c r="M25">
        <v>30</v>
      </c>
      <c r="N25">
        <v>12</v>
      </c>
      <c r="O25">
        <v>60</v>
      </c>
      <c r="P25">
        <v>75</v>
      </c>
      <c r="Q25">
        <v>11.09111796163795</v>
      </c>
      <c r="R25">
        <v>4649250.9443248631</v>
      </c>
      <c r="S25">
        <v>80801575.103835493</v>
      </c>
      <c r="T25">
        <v>12533942317.70396</v>
      </c>
      <c r="U25">
        <v>34</v>
      </c>
      <c r="V25">
        <v>14.8</v>
      </c>
      <c r="W25">
        <v>2334.5951530734128</v>
      </c>
      <c r="X25" t="b">
        <v>1</v>
      </c>
    </row>
    <row r="26" spans="1:24" x14ac:dyDescent="0.25">
      <c r="A26">
        <v>25</v>
      </c>
      <c r="B26" t="s">
        <v>48</v>
      </c>
      <c r="C26">
        <v>-1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500</v>
      </c>
      <c r="K26">
        <v>1500</v>
      </c>
      <c r="L26">
        <v>500</v>
      </c>
      <c r="M26">
        <v>60</v>
      </c>
      <c r="N26">
        <v>12</v>
      </c>
      <c r="O26">
        <v>60</v>
      </c>
      <c r="P26">
        <v>75</v>
      </c>
      <c r="Q26">
        <v>10.36743854871605</v>
      </c>
      <c r="R26">
        <v>84109307.833202749</v>
      </c>
      <c r="S26">
        <v>1190415.385211132</v>
      </c>
      <c r="T26">
        <v>2247924912.0908599</v>
      </c>
      <c r="U26">
        <v>18</v>
      </c>
      <c r="V26">
        <v>12.4</v>
      </c>
      <c r="W26">
        <v>2794.9897995553879</v>
      </c>
      <c r="X26" t="b">
        <v>1</v>
      </c>
    </row>
    <row r="27" spans="1:24" x14ac:dyDescent="0.25">
      <c r="A27">
        <v>26</v>
      </c>
      <c r="B27" t="s">
        <v>49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5000</v>
      </c>
      <c r="K27">
        <v>1500</v>
      </c>
      <c r="L27">
        <v>500</v>
      </c>
      <c r="M27">
        <v>60</v>
      </c>
      <c r="N27">
        <v>12</v>
      </c>
      <c r="O27">
        <v>60</v>
      </c>
      <c r="P27">
        <v>75</v>
      </c>
      <c r="Q27">
        <v>10.693395885055409</v>
      </c>
      <c r="R27">
        <v>44019970.214592047</v>
      </c>
      <c r="S27">
        <v>20540439.552149441</v>
      </c>
      <c r="T27">
        <v>6999488153.8765888</v>
      </c>
      <c r="U27">
        <v>19</v>
      </c>
      <c r="V27">
        <v>13.6</v>
      </c>
      <c r="W27">
        <v>2712.623651381889</v>
      </c>
      <c r="X27" t="b">
        <v>1</v>
      </c>
    </row>
    <row r="28" spans="1:24" x14ac:dyDescent="0.25">
      <c r="A28">
        <v>27</v>
      </c>
      <c r="B28" t="s">
        <v>50</v>
      </c>
      <c r="C28">
        <v>-1</v>
      </c>
      <c r="D28">
        <v>1</v>
      </c>
      <c r="E28">
        <v>-1</v>
      </c>
      <c r="F28">
        <v>1</v>
      </c>
      <c r="G28">
        <v>1</v>
      </c>
      <c r="H28">
        <v>-1</v>
      </c>
      <c r="I28">
        <v>-1</v>
      </c>
      <c r="J28">
        <v>500</v>
      </c>
      <c r="K28">
        <v>5000</v>
      </c>
      <c r="L28">
        <v>500</v>
      </c>
      <c r="M28">
        <v>60</v>
      </c>
      <c r="N28">
        <v>12</v>
      </c>
      <c r="O28">
        <v>60</v>
      </c>
      <c r="P28">
        <v>75</v>
      </c>
      <c r="Q28">
        <v>13.57640362222679</v>
      </c>
      <c r="R28">
        <v>18682912.55832646</v>
      </c>
      <c r="S28">
        <v>34677283.542006388</v>
      </c>
      <c r="T28">
        <v>9701101651.3540745</v>
      </c>
      <c r="U28">
        <v>30</v>
      </c>
      <c r="V28">
        <v>16.7</v>
      </c>
      <c r="W28">
        <v>2438.9617423332988</v>
      </c>
      <c r="X28" t="b">
        <v>1</v>
      </c>
    </row>
    <row r="29" spans="1:24" x14ac:dyDescent="0.25">
      <c r="A29">
        <v>28</v>
      </c>
      <c r="B29" t="s">
        <v>51</v>
      </c>
      <c r="C29">
        <v>1</v>
      </c>
      <c r="D29">
        <v>1</v>
      </c>
      <c r="E29">
        <v>-1</v>
      </c>
      <c r="F29">
        <v>1</v>
      </c>
      <c r="G29">
        <v>1</v>
      </c>
      <c r="H29">
        <v>-1</v>
      </c>
      <c r="I29">
        <v>-1</v>
      </c>
      <c r="J29">
        <v>5000</v>
      </c>
      <c r="K29">
        <v>5000</v>
      </c>
      <c r="L29">
        <v>500</v>
      </c>
      <c r="M29">
        <v>60</v>
      </c>
      <c r="N29">
        <v>12</v>
      </c>
      <c r="O29">
        <v>60</v>
      </c>
      <c r="P29">
        <v>75</v>
      </c>
      <c r="Q29">
        <v>15.62591607443643</v>
      </c>
      <c r="R29">
        <v>6813053.4074755833</v>
      </c>
      <c r="S29">
        <v>82805842.453211099</v>
      </c>
      <c r="T29">
        <v>11452371072.13076</v>
      </c>
      <c r="U29">
        <v>35</v>
      </c>
      <c r="V29">
        <v>16.3</v>
      </c>
      <c r="W29">
        <v>2159.7677199695631</v>
      </c>
      <c r="X29" t="b">
        <v>1</v>
      </c>
    </row>
    <row r="30" spans="1:24" x14ac:dyDescent="0.25">
      <c r="A30">
        <v>29</v>
      </c>
      <c r="B30" t="s">
        <v>52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500</v>
      </c>
      <c r="K30">
        <v>1500</v>
      </c>
      <c r="L30">
        <v>2000</v>
      </c>
      <c r="M30">
        <v>60</v>
      </c>
      <c r="N30">
        <v>12</v>
      </c>
      <c r="O30">
        <v>60</v>
      </c>
      <c r="P30">
        <v>75</v>
      </c>
      <c r="Q30">
        <v>10.2702762275167</v>
      </c>
      <c r="R30">
        <v>83643248.818067029</v>
      </c>
      <c r="S30">
        <v>655425.37629865203</v>
      </c>
      <c r="T30">
        <v>2976812335.7705421</v>
      </c>
      <c r="U30">
        <v>18</v>
      </c>
      <c r="V30">
        <v>12.4</v>
      </c>
      <c r="W30">
        <v>2803.1008225492928</v>
      </c>
      <c r="X30" t="b">
        <v>1</v>
      </c>
    </row>
    <row r="31" spans="1:24" x14ac:dyDescent="0.25">
      <c r="A31">
        <v>30</v>
      </c>
      <c r="B31" t="s">
        <v>53</v>
      </c>
      <c r="C31">
        <v>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5000</v>
      </c>
      <c r="K31">
        <v>1500</v>
      </c>
      <c r="L31">
        <v>2000</v>
      </c>
      <c r="M31">
        <v>60</v>
      </c>
      <c r="N31">
        <v>12</v>
      </c>
      <c r="O31">
        <v>60</v>
      </c>
      <c r="P31">
        <v>75</v>
      </c>
      <c r="Q31">
        <v>10.54777666936646</v>
      </c>
      <c r="R31">
        <v>38140080.59335281</v>
      </c>
      <c r="S31">
        <v>13370389.870304611</v>
      </c>
      <c r="T31">
        <v>8265029098.3684311</v>
      </c>
      <c r="U31">
        <v>19</v>
      </c>
      <c r="V31">
        <v>14.5</v>
      </c>
      <c r="W31">
        <v>2679.232317397124</v>
      </c>
      <c r="X31" t="b">
        <v>1</v>
      </c>
    </row>
    <row r="32" spans="1:24" x14ac:dyDescent="0.25">
      <c r="A32">
        <v>31</v>
      </c>
      <c r="B32" t="s">
        <v>54</v>
      </c>
      <c r="C32">
        <v>-1</v>
      </c>
      <c r="D32">
        <v>1</v>
      </c>
      <c r="E32">
        <v>1</v>
      </c>
      <c r="F32">
        <v>1</v>
      </c>
      <c r="G32">
        <v>1</v>
      </c>
      <c r="H32">
        <v>-1</v>
      </c>
      <c r="I32">
        <v>-1</v>
      </c>
      <c r="J32">
        <v>500</v>
      </c>
      <c r="K32">
        <v>5000</v>
      </c>
      <c r="L32">
        <v>2000</v>
      </c>
      <c r="M32">
        <v>60</v>
      </c>
      <c r="N32">
        <v>12</v>
      </c>
      <c r="O32">
        <v>60</v>
      </c>
      <c r="P32">
        <v>75</v>
      </c>
      <c r="Q32">
        <v>13.022285888780059</v>
      </c>
      <c r="R32">
        <v>16578336.028487731</v>
      </c>
      <c r="S32">
        <v>32216099.603926759</v>
      </c>
      <c r="T32">
        <v>10625174780.06296</v>
      </c>
      <c r="U32">
        <v>28</v>
      </c>
      <c r="V32">
        <v>16.600000000000001</v>
      </c>
      <c r="W32">
        <v>2451.4951887962711</v>
      </c>
      <c r="X32" t="b">
        <v>1</v>
      </c>
    </row>
    <row r="33" spans="1:24" x14ac:dyDescent="0.25">
      <c r="A33">
        <v>32</v>
      </c>
      <c r="B33" t="s">
        <v>55</v>
      </c>
      <c r="C33">
        <v>1</v>
      </c>
      <c r="D33">
        <v>1</v>
      </c>
      <c r="E33">
        <v>1</v>
      </c>
      <c r="F33">
        <v>1</v>
      </c>
      <c r="G33">
        <v>1</v>
      </c>
      <c r="H33">
        <v>-1</v>
      </c>
      <c r="I33">
        <v>-1</v>
      </c>
      <c r="J33">
        <v>5000</v>
      </c>
      <c r="K33">
        <v>5000</v>
      </c>
      <c r="L33">
        <v>2000</v>
      </c>
      <c r="M33">
        <v>60</v>
      </c>
      <c r="N33">
        <v>12</v>
      </c>
      <c r="O33">
        <v>60</v>
      </c>
      <c r="P33">
        <v>75</v>
      </c>
      <c r="Q33">
        <v>15.991047871923969</v>
      </c>
      <c r="R33">
        <v>4640286.5078578349</v>
      </c>
      <c r="S33">
        <v>80227856.751658902</v>
      </c>
      <c r="T33">
        <v>12297437636.18461</v>
      </c>
      <c r="U33">
        <v>33</v>
      </c>
      <c r="V33">
        <v>15.4</v>
      </c>
      <c r="W33">
        <v>2010.560743330577</v>
      </c>
      <c r="X33" t="b">
        <v>1</v>
      </c>
    </row>
    <row r="34" spans="1:24" x14ac:dyDescent="0.25">
      <c r="A34">
        <v>33</v>
      </c>
      <c r="B34" t="s">
        <v>56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1</v>
      </c>
      <c r="I34">
        <v>-1</v>
      </c>
      <c r="J34">
        <v>500</v>
      </c>
      <c r="K34">
        <v>1500</v>
      </c>
      <c r="L34">
        <v>500</v>
      </c>
      <c r="M34">
        <v>30</v>
      </c>
      <c r="N34">
        <v>6</v>
      </c>
      <c r="O34">
        <v>75</v>
      </c>
      <c r="P34">
        <v>75</v>
      </c>
      <c r="Q34">
        <v>8.15843593737047</v>
      </c>
      <c r="R34">
        <v>84125074.853259102</v>
      </c>
      <c r="S34">
        <v>1190115.7202107289</v>
      </c>
      <c r="T34">
        <v>2231568286.876194</v>
      </c>
      <c r="U34">
        <v>20</v>
      </c>
      <c r="V34">
        <v>12.7</v>
      </c>
      <c r="W34">
        <v>2964.026732138379</v>
      </c>
      <c r="X34" t="b">
        <v>1</v>
      </c>
    </row>
    <row r="35" spans="1:24" x14ac:dyDescent="0.25">
      <c r="A35">
        <v>34</v>
      </c>
      <c r="B35" t="s">
        <v>57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I35">
        <v>-1</v>
      </c>
      <c r="J35">
        <v>5000</v>
      </c>
      <c r="K35">
        <v>1500</v>
      </c>
      <c r="L35">
        <v>500</v>
      </c>
      <c r="M35">
        <v>30</v>
      </c>
      <c r="N35">
        <v>6</v>
      </c>
      <c r="O35">
        <v>75</v>
      </c>
      <c r="P35">
        <v>75</v>
      </c>
      <c r="Q35">
        <v>9.6310236146876065</v>
      </c>
      <c r="R35">
        <v>44026801.767949283</v>
      </c>
      <c r="S35">
        <v>20423217.84655096</v>
      </c>
      <c r="T35">
        <v>6890290055.3129148</v>
      </c>
      <c r="U35">
        <v>31</v>
      </c>
      <c r="V35">
        <v>13.6</v>
      </c>
      <c r="W35">
        <v>2779.7884996485559</v>
      </c>
      <c r="X35" t="b">
        <v>1</v>
      </c>
    </row>
    <row r="36" spans="1:24" x14ac:dyDescent="0.25">
      <c r="A36">
        <v>35</v>
      </c>
      <c r="B36" t="s">
        <v>58</v>
      </c>
      <c r="C36">
        <v>-1</v>
      </c>
      <c r="D36">
        <v>1</v>
      </c>
      <c r="E36">
        <v>-1</v>
      </c>
      <c r="F36">
        <v>-1</v>
      </c>
      <c r="G36">
        <v>-1</v>
      </c>
      <c r="H36">
        <v>1</v>
      </c>
      <c r="I36">
        <v>-1</v>
      </c>
      <c r="J36">
        <v>500</v>
      </c>
      <c r="K36">
        <v>5000</v>
      </c>
      <c r="L36">
        <v>500</v>
      </c>
      <c r="M36">
        <v>30</v>
      </c>
      <c r="N36">
        <v>6</v>
      </c>
      <c r="O36">
        <v>75</v>
      </c>
      <c r="P36">
        <v>75</v>
      </c>
      <c r="Q36">
        <v>11.024764177545141</v>
      </c>
      <c r="R36">
        <v>18693425.973397151</v>
      </c>
      <c r="S36">
        <v>34871486.455626316</v>
      </c>
      <c r="T36">
        <v>9750226603.1801777</v>
      </c>
      <c r="U36">
        <v>43</v>
      </c>
      <c r="V36">
        <v>16.2</v>
      </c>
      <c r="W36">
        <v>2594.9489260348309</v>
      </c>
      <c r="X36" t="b">
        <v>1</v>
      </c>
    </row>
    <row r="37" spans="1:24" x14ac:dyDescent="0.25">
      <c r="A37">
        <v>36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-1</v>
      </c>
      <c r="J37">
        <v>5000</v>
      </c>
      <c r="K37">
        <v>5000</v>
      </c>
      <c r="L37">
        <v>500</v>
      </c>
      <c r="M37">
        <v>30</v>
      </c>
      <c r="N37">
        <v>6</v>
      </c>
      <c r="O37">
        <v>75</v>
      </c>
      <c r="P37">
        <v>75</v>
      </c>
      <c r="Q37">
        <v>12.373517447424771</v>
      </c>
      <c r="R37">
        <v>6820505.4211699897</v>
      </c>
      <c r="S37">
        <v>83094960.295781493</v>
      </c>
      <c r="T37">
        <v>11581141465.6416</v>
      </c>
      <c r="U37">
        <v>53</v>
      </c>
      <c r="V37">
        <v>16.2</v>
      </c>
      <c r="W37">
        <v>2316.9786891865469</v>
      </c>
      <c r="X37" t="b">
        <v>1</v>
      </c>
    </row>
    <row r="38" spans="1:24" x14ac:dyDescent="0.25">
      <c r="A38">
        <v>37</v>
      </c>
      <c r="B38" t="s">
        <v>60</v>
      </c>
      <c r="C38">
        <v>-1</v>
      </c>
      <c r="D38">
        <v>-1</v>
      </c>
      <c r="E38">
        <v>1</v>
      </c>
      <c r="F38">
        <v>-1</v>
      </c>
      <c r="G38">
        <v>-1</v>
      </c>
      <c r="H38">
        <v>1</v>
      </c>
      <c r="I38">
        <v>-1</v>
      </c>
      <c r="J38">
        <v>500</v>
      </c>
      <c r="K38">
        <v>1500</v>
      </c>
      <c r="L38">
        <v>2000</v>
      </c>
      <c r="M38">
        <v>30</v>
      </c>
      <c r="N38">
        <v>6</v>
      </c>
      <c r="O38">
        <v>75</v>
      </c>
      <c r="P38">
        <v>75</v>
      </c>
      <c r="Q38">
        <v>7.9168408880329926</v>
      </c>
      <c r="R38">
        <v>83659634.401035428</v>
      </c>
      <c r="S38">
        <v>654466.78330903873</v>
      </c>
      <c r="T38">
        <v>2963407393.9713969</v>
      </c>
      <c r="U38">
        <v>18</v>
      </c>
      <c r="V38">
        <v>12.7</v>
      </c>
      <c r="W38">
        <v>2979.817525442958</v>
      </c>
      <c r="X38" t="b">
        <v>1</v>
      </c>
    </row>
    <row r="39" spans="1:24" x14ac:dyDescent="0.25">
      <c r="A39">
        <v>38</v>
      </c>
      <c r="B39" t="s">
        <v>61</v>
      </c>
      <c r="C39">
        <v>1</v>
      </c>
      <c r="D39">
        <v>-1</v>
      </c>
      <c r="E39">
        <v>1</v>
      </c>
      <c r="F39">
        <v>-1</v>
      </c>
      <c r="G39">
        <v>-1</v>
      </c>
      <c r="H39">
        <v>1</v>
      </c>
      <c r="I39">
        <v>-1</v>
      </c>
      <c r="J39">
        <v>5000</v>
      </c>
      <c r="K39">
        <v>1500</v>
      </c>
      <c r="L39">
        <v>2000</v>
      </c>
      <c r="M39">
        <v>30</v>
      </c>
      <c r="N39">
        <v>6</v>
      </c>
      <c r="O39">
        <v>75</v>
      </c>
      <c r="P39">
        <v>75</v>
      </c>
      <c r="Q39">
        <v>8.9597195617363781</v>
      </c>
      <c r="R39">
        <v>38152646.266470551</v>
      </c>
      <c r="S39">
        <v>13332960.79421309</v>
      </c>
      <c r="T39">
        <v>8205249497.3238602</v>
      </c>
      <c r="U39">
        <v>24</v>
      </c>
      <c r="V39">
        <v>14.6</v>
      </c>
      <c r="W39">
        <v>2803.0082018603389</v>
      </c>
      <c r="X39" t="b">
        <v>1</v>
      </c>
    </row>
    <row r="40" spans="1:24" x14ac:dyDescent="0.25">
      <c r="A40">
        <v>39</v>
      </c>
      <c r="B40" t="s">
        <v>62</v>
      </c>
      <c r="C40">
        <v>-1</v>
      </c>
      <c r="D40">
        <v>1</v>
      </c>
      <c r="E40">
        <v>1</v>
      </c>
      <c r="F40">
        <v>-1</v>
      </c>
      <c r="G40">
        <v>-1</v>
      </c>
      <c r="H40">
        <v>1</v>
      </c>
      <c r="I40">
        <v>-1</v>
      </c>
      <c r="J40">
        <v>500</v>
      </c>
      <c r="K40">
        <v>5000</v>
      </c>
      <c r="L40">
        <v>2000</v>
      </c>
      <c r="M40">
        <v>30</v>
      </c>
      <c r="N40">
        <v>6</v>
      </c>
      <c r="O40">
        <v>75</v>
      </c>
      <c r="P40">
        <v>75</v>
      </c>
      <c r="Q40">
        <v>10.69402906206062</v>
      </c>
      <c r="R40">
        <v>16590432.168734919</v>
      </c>
      <c r="S40">
        <v>32396372.19784179</v>
      </c>
      <c r="T40">
        <v>10668756004.336229</v>
      </c>
      <c r="U40">
        <v>39</v>
      </c>
      <c r="V40">
        <v>16.2</v>
      </c>
      <c r="W40">
        <v>2606.2825019473948</v>
      </c>
      <c r="X40" t="b">
        <v>1</v>
      </c>
    </row>
    <row r="41" spans="1:24" x14ac:dyDescent="0.25">
      <c r="A41">
        <v>40</v>
      </c>
      <c r="B41" t="s">
        <v>63</v>
      </c>
      <c r="C41">
        <v>1</v>
      </c>
      <c r="D41">
        <v>1</v>
      </c>
      <c r="E41">
        <v>1</v>
      </c>
      <c r="F41">
        <v>-1</v>
      </c>
      <c r="G41">
        <v>-1</v>
      </c>
      <c r="H41">
        <v>1</v>
      </c>
      <c r="I41">
        <v>-1</v>
      </c>
      <c r="J41">
        <v>5000</v>
      </c>
      <c r="K41">
        <v>5000</v>
      </c>
      <c r="L41">
        <v>2000</v>
      </c>
      <c r="M41">
        <v>30</v>
      </c>
      <c r="N41">
        <v>6</v>
      </c>
      <c r="O41">
        <v>75</v>
      </c>
      <c r="P41">
        <v>75</v>
      </c>
      <c r="Q41">
        <v>12.07863323218554</v>
      </c>
      <c r="R41">
        <v>4643569.216793214</v>
      </c>
      <c r="S41">
        <v>80511446.093190566</v>
      </c>
      <c r="T41">
        <v>12431352843.504049</v>
      </c>
      <c r="U41">
        <v>47</v>
      </c>
      <c r="V41">
        <v>15.1</v>
      </c>
      <c r="W41">
        <v>2186.8413487252569</v>
      </c>
      <c r="X41" t="b">
        <v>1</v>
      </c>
    </row>
    <row r="42" spans="1:24" x14ac:dyDescent="0.25">
      <c r="A42">
        <v>41</v>
      </c>
      <c r="B42" t="s">
        <v>64</v>
      </c>
      <c r="C42">
        <v>-1</v>
      </c>
      <c r="D42">
        <v>-1</v>
      </c>
      <c r="E42">
        <v>-1</v>
      </c>
      <c r="F42">
        <v>1</v>
      </c>
      <c r="G42">
        <v>-1</v>
      </c>
      <c r="H42">
        <v>1</v>
      </c>
      <c r="I42">
        <v>-1</v>
      </c>
      <c r="J42">
        <v>500</v>
      </c>
      <c r="K42">
        <v>1500</v>
      </c>
      <c r="L42">
        <v>500</v>
      </c>
      <c r="M42">
        <v>60</v>
      </c>
      <c r="N42">
        <v>6</v>
      </c>
      <c r="O42">
        <v>75</v>
      </c>
      <c r="P42">
        <v>75</v>
      </c>
      <c r="Q42">
        <v>10.549291813532459</v>
      </c>
      <c r="R42">
        <v>84106524.704342127</v>
      </c>
      <c r="S42">
        <v>1131269.1437299631</v>
      </c>
      <c r="T42">
        <v>2221008009.4583359</v>
      </c>
      <c r="U42">
        <v>20</v>
      </c>
      <c r="V42">
        <v>12.4</v>
      </c>
      <c r="W42">
        <v>2765.6597496261588</v>
      </c>
      <c r="X42" t="b">
        <v>1</v>
      </c>
    </row>
    <row r="43" spans="1:24" x14ac:dyDescent="0.25">
      <c r="A43">
        <v>42</v>
      </c>
      <c r="B43" t="s">
        <v>65</v>
      </c>
      <c r="C43">
        <v>1</v>
      </c>
      <c r="D43">
        <v>-1</v>
      </c>
      <c r="E43">
        <v>-1</v>
      </c>
      <c r="F43">
        <v>1</v>
      </c>
      <c r="G43">
        <v>-1</v>
      </c>
      <c r="H43">
        <v>1</v>
      </c>
      <c r="I43">
        <v>-1</v>
      </c>
      <c r="J43">
        <v>5000</v>
      </c>
      <c r="K43">
        <v>1500</v>
      </c>
      <c r="L43">
        <v>500</v>
      </c>
      <c r="M43">
        <v>60</v>
      </c>
      <c r="N43">
        <v>6</v>
      </c>
      <c r="O43">
        <v>75</v>
      </c>
      <c r="P43">
        <v>75</v>
      </c>
      <c r="Q43">
        <v>11.869185934096221</v>
      </c>
      <c r="R43">
        <v>43994385.86264427</v>
      </c>
      <c r="S43">
        <v>20053083.614583232</v>
      </c>
      <c r="T43">
        <v>6836053411.448863</v>
      </c>
      <c r="U43">
        <v>31</v>
      </c>
      <c r="V43">
        <v>13.5</v>
      </c>
      <c r="W43">
        <v>2544.952764413054</v>
      </c>
      <c r="X43" t="b">
        <v>1</v>
      </c>
    </row>
    <row r="44" spans="1:24" x14ac:dyDescent="0.25">
      <c r="A44">
        <v>43</v>
      </c>
      <c r="B44" t="s">
        <v>66</v>
      </c>
      <c r="C44">
        <v>-1</v>
      </c>
      <c r="D44">
        <v>1</v>
      </c>
      <c r="E44">
        <v>-1</v>
      </c>
      <c r="F44">
        <v>1</v>
      </c>
      <c r="G44">
        <v>-1</v>
      </c>
      <c r="H44">
        <v>1</v>
      </c>
      <c r="I44">
        <v>-1</v>
      </c>
      <c r="J44">
        <v>500</v>
      </c>
      <c r="K44">
        <v>5000</v>
      </c>
      <c r="L44">
        <v>500</v>
      </c>
      <c r="M44">
        <v>60</v>
      </c>
      <c r="N44">
        <v>6</v>
      </c>
      <c r="O44">
        <v>75</v>
      </c>
      <c r="P44">
        <v>75</v>
      </c>
      <c r="Q44">
        <v>15.174230670109671</v>
      </c>
      <c r="R44">
        <v>18653165.432680368</v>
      </c>
      <c r="S44">
        <v>34186981.550421163</v>
      </c>
      <c r="T44">
        <v>9568056370.8459682</v>
      </c>
      <c r="U44">
        <v>41</v>
      </c>
      <c r="V44">
        <v>17</v>
      </c>
      <c r="W44">
        <v>2280.6769959831458</v>
      </c>
      <c r="X44" t="b">
        <v>1</v>
      </c>
    </row>
    <row r="45" spans="1:24" x14ac:dyDescent="0.25">
      <c r="A45">
        <v>44</v>
      </c>
      <c r="B45" t="s">
        <v>67</v>
      </c>
      <c r="C45">
        <v>1</v>
      </c>
      <c r="D45">
        <v>1</v>
      </c>
      <c r="E45">
        <v>-1</v>
      </c>
      <c r="F45">
        <v>1</v>
      </c>
      <c r="G45">
        <v>-1</v>
      </c>
      <c r="H45">
        <v>1</v>
      </c>
      <c r="I45">
        <v>-1</v>
      </c>
      <c r="J45">
        <v>5000</v>
      </c>
      <c r="K45">
        <v>5000</v>
      </c>
      <c r="L45">
        <v>500</v>
      </c>
      <c r="M45">
        <v>60</v>
      </c>
      <c r="N45">
        <v>6</v>
      </c>
      <c r="O45">
        <v>75</v>
      </c>
      <c r="P45">
        <v>75</v>
      </c>
      <c r="Q45">
        <v>21.99443308525062</v>
      </c>
      <c r="R45">
        <v>6796168.2361327596</v>
      </c>
      <c r="S45">
        <v>82157610.608088583</v>
      </c>
      <c r="T45">
        <v>11238612023.578079</v>
      </c>
      <c r="U45">
        <v>50</v>
      </c>
      <c r="V45">
        <v>17</v>
      </c>
      <c r="W45">
        <v>1842.381438326111</v>
      </c>
      <c r="X45" t="b">
        <v>1</v>
      </c>
    </row>
    <row r="46" spans="1:24" x14ac:dyDescent="0.25">
      <c r="A46">
        <v>45</v>
      </c>
      <c r="B46" t="s">
        <v>68</v>
      </c>
      <c r="C46">
        <v>-1</v>
      </c>
      <c r="D46">
        <v>-1</v>
      </c>
      <c r="E46">
        <v>1</v>
      </c>
      <c r="F46">
        <v>1</v>
      </c>
      <c r="G46">
        <v>-1</v>
      </c>
      <c r="H46">
        <v>1</v>
      </c>
      <c r="I46">
        <v>-1</v>
      </c>
      <c r="J46">
        <v>500</v>
      </c>
      <c r="K46">
        <v>1500</v>
      </c>
      <c r="L46">
        <v>2000</v>
      </c>
      <c r="M46">
        <v>60</v>
      </c>
      <c r="N46">
        <v>6</v>
      </c>
      <c r="O46">
        <v>75</v>
      </c>
      <c r="P46">
        <v>75</v>
      </c>
      <c r="Q46">
        <v>10.27082332776452</v>
      </c>
      <c r="R46">
        <v>83641767.54960683</v>
      </c>
      <c r="S46">
        <v>628644.02790481062</v>
      </c>
      <c r="T46">
        <v>2968257170.4444251</v>
      </c>
      <c r="U46">
        <v>18</v>
      </c>
      <c r="V46">
        <v>12.4</v>
      </c>
      <c r="W46">
        <v>2794.1588725356628</v>
      </c>
      <c r="X46" t="b">
        <v>1</v>
      </c>
    </row>
    <row r="47" spans="1:24" x14ac:dyDescent="0.25">
      <c r="A47">
        <v>46</v>
      </c>
      <c r="B47" t="s">
        <v>69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5000</v>
      </c>
      <c r="K47">
        <v>1500</v>
      </c>
      <c r="L47">
        <v>2000</v>
      </c>
      <c r="M47">
        <v>60</v>
      </c>
      <c r="N47">
        <v>6</v>
      </c>
      <c r="O47">
        <v>75</v>
      </c>
      <c r="P47">
        <v>75</v>
      </c>
      <c r="Q47">
        <v>10.74701612351488</v>
      </c>
      <c r="R47">
        <v>38127962.268611088</v>
      </c>
      <c r="S47">
        <v>13158010.28284242</v>
      </c>
      <c r="T47">
        <v>8197998784.500452</v>
      </c>
      <c r="U47">
        <v>23</v>
      </c>
      <c r="V47">
        <v>14.6</v>
      </c>
      <c r="W47">
        <v>2617.871747078942</v>
      </c>
      <c r="X47" t="b">
        <v>1</v>
      </c>
    </row>
    <row r="48" spans="1:24" x14ac:dyDescent="0.25">
      <c r="A48">
        <v>47</v>
      </c>
      <c r="B48" t="s">
        <v>70</v>
      </c>
      <c r="C48">
        <v>-1</v>
      </c>
      <c r="D48">
        <v>1</v>
      </c>
      <c r="E48">
        <v>1</v>
      </c>
      <c r="F48">
        <v>1</v>
      </c>
      <c r="G48">
        <v>-1</v>
      </c>
      <c r="H48">
        <v>1</v>
      </c>
      <c r="I48">
        <v>-1</v>
      </c>
      <c r="J48">
        <v>500</v>
      </c>
      <c r="K48">
        <v>5000</v>
      </c>
      <c r="L48">
        <v>2000</v>
      </c>
      <c r="M48">
        <v>60</v>
      </c>
      <c r="N48">
        <v>6</v>
      </c>
      <c r="O48">
        <v>75</v>
      </c>
      <c r="P48">
        <v>75</v>
      </c>
      <c r="Q48">
        <v>14.101764202477741</v>
      </c>
      <c r="R48">
        <v>16552963.02881659</v>
      </c>
      <c r="S48">
        <v>31813469.041329291</v>
      </c>
      <c r="T48">
        <v>10538199599.929779</v>
      </c>
      <c r="U48">
        <v>37</v>
      </c>
      <c r="V48">
        <v>17.100000000000001</v>
      </c>
      <c r="W48">
        <v>2328.19185740582</v>
      </c>
      <c r="X48" t="b">
        <v>1</v>
      </c>
    </row>
    <row r="49" spans="1:24" x14ac:dyDescent="0.25">
      <c r="A49">
        <v>48</v>
      </c>
      <c r="B49" t="s">
        <v>71</v>
      </c>
      <c r="C49">
        <v>1</v>
      </c>
      <c r="D49">
        <v>1</v>
      </c>
      <c r="E49">
        <v>1</v>
      </c>
      <c r="F49">
        <v>1</v>
      </c>
      <c r="G49">
        <v>-1</v>
      </c>
      <c r="H49">
        <v>1</v>
      </c>
      <c r="I49">
        <v>-1</v>
      </c>
      <c r="J49">
        <v>5000</v>
      </c>
      <c r="K49">
        <v>5000</v>
      </c>
      <c r="L49">
        <v>2000</v>
      </c>
      <c r="M49">
        <v>60</v>
      </c>
      <c r="N49">
        <v>6</v>
      </c>
      <c r="O49">
        <v>75</v>
      </c>
      <c r="P49">
        <v>75</v>
      </c>
      <c r="Q49">
        <v>21.034890097751092</v>
      </c>
      <c r="R49">
        <v>4639003.9162646988</v>
      </c>
      <c r="S49">
        <v>79735092.552602649</v>
      </c>
      <c r="T49">
        <v>12101494025.9224</v>
      </c>
      <c r="U49">
        <v>44</v>
      </c>
      <c r="V49">
        <v>15.6</v>
      </c>
      <c r="W49">
        <v>1724.4797603952909</v>
      </c>
      <c r="X49" t="b">
        <v>1</v>
      </c>
    </row>
    <row r="50" spans="1:24" x14ac:dyDescent="0.25">
      <c r="A50">
        <v>49</v>
      </c>
      <c r="B50" t="s">
        <v>72</v>
      </c>
      <c r="C50">
        <v>-1</v>
      </c>
      <c r="D50">
        <v>-1</v>
      </c>
      <c r="E50">
        <v>-1</v>
      </c>
      <c r="F50">
        <v>-1</v>
      </c>
      <c r="G50">
        <v>1</v>
      </c>
      <c r="H50">
        <v>1</v>
      </c>
      <c r="I50">
        <v>-1</v>
      </c>
      <c r="J50">
        <v>500</v>
      </c>
      <c r="K50">
        <v>1500</v>
      </c>
      <c r="L50">
        <v>500</v>
      </c>
      <c r="M50">
        <v>30</v>
      </c>
      <c r="N50">
        <v>12</v>
      </c>
      <c r="O50">
        <v>75</v>
      </c>
      <c r="P50">
        <v>75</v>
      </c>
      <c r="Q50">
        <v>8.0515870128767375</v>
      </c>
      <c r="R50">
        <v>84125582.467494518</v>
      </c>
      <c r="S50">
        <v>1203989.5948140461</v>
      </c>
      <c r="T50">
        <v>2239601261.04426</v>
      </c>
      <c r="U50">
        <v>19</v>
      </c>
      <c r="V50">
        <v>12.7</v>
      </c>
      <c r="W50">
        <v>2972.2513145126491</v>
      </c>
      <c r="X50" t="b">
        <v>1</v>
      </c>
    </row>
    <row r="51" spans="1:24" x14ac:dyDescent="0.25">
      <c r="A51">
        <v>50</v>
      </c>
      <c r="B51" t="s">
        <v>73</v>
      </c>
      <c r="C51">
        <v>1</v>
      </c>
      <c r="D51">
        <v>-1</v>
      </c>
      <c r="E51">
        <v>-1</v>
      </c>
      <c r="F51">
        <v>-1</v>
      </c>
      <c r="G51">
        <v>1</v>
      </c>
      <c r="H51">
        <v>1</v>
      </c>
      <c r="I51">
        <v>-1</v>
      </c>
      <c r="J51">
        <v>5000</v>
      </c>
      <c r="K51">
        <v>1500</v>
      </c>
      <c r="L51">
        <v>500</v>
      </c>
      <c r="M51">
        <v>30</v>
      </c>
      <c r="N51">
        <v>12</v>
      </c>
      <c r="O51">
        <v>75</v>
      </c>
      <c r="P51">
        <v>75</v>
      </c>
      <c r="Q51">
        <v>8.4964124480339223</v>
      </c>
      <c r="R51">
        <v>44033052.571562871</v>
      </c>
      <c r="S51">
        <v>20631727.133404478</v>
      </c>
      <c r="T51">
        <v>7008543161.7177572</v>
      </c>
      <c r="U51">
        <v>21</v>
      </c>
      <c r="V51">
        <v>13.8</v>
      </c>
      <c r="W51">
        <v>2899.167930882581</v>
      </c>
      <c r="X51" t="b">
        <v>1</v>
      </c>
    </row>
    <row r="52" spans="1:24" x14ac:dyDescent="0.25">
      <c r="A52">
        <v>51</v>
      </c>
      <c r="B52" t="s">
        <v>74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500</v>
      </c>
      <c r="K52">
        <v>5000</v>
      </c>
      <c r="L52">
        <v>500</v>
      </c>
      <c r="M52">
        <v>30</v>
      </c>
      <c r="N52">
        <v>12</v>
      </c>
      <c r="O52">
        <v>75</v>
      </c>
      <c r="P52">
        <v>75</v>
      </c>
      <c r="Q52">
        <v>10.65533158550728</v>
      </c>
      <c r="R52">
        <v>18697496.313486591</v>
      </c>
      <c r="S52">
        <v>34974881.873831332</v>
      </c>
      <c r="T52">
        <v>9801404163.8305111</v>
      </c>
      <c r="U52">
        <v>38</v>
      </c>
      <c r="V52">
        <v>16</v>
      </c>
      <c r="W52">
        <v>2634.4210859359928</v>
      </c>
      <c r="X52" t="b">
        <v>1</v>
      </c>
    </row>
    <row r="53" spans="1:24" x14ac:dyDescent="0.25">
      <c r="A53">
        <v>52</v>
      </c>
      <c r="B53" t="s">
        <v>75</v>
      </c>
      <c r="C53">
        <v>1</v>
      </c>
      <c r="D53">
        <v>1</v>
      </c>
      <c r="E53">
        <v>-1</v>
      </c>
      <c r="F53">
        <v>-1</v>
      </c>
      <c r="G53">
        <v>1</v>
      </c>
      <c r="H53">
        <v>1</v>
      </c>
      <c r="I53">
        <v>-1</v>
      </c>
      <c r="J53">
        <v>5000</v>
      </c>
      <c r="K53">
        <v>5000</v>
      </c>
      <c r="L53">
        <v>500</v>
      </c>
      <c r="M53">
        <v>30</v>
      </c>
      <c r="N53">
        <v>12</v>
      </c>
      <c r="O53">
        <v>75</v>
      </c>
      <c r="P53">
        <v>75</v>
      </c>
      <c r="Q53">
        <v>11.192635922912091</v>
      </c>
      <c r="R53">
        <v>6826901.3139114771</v>
      </c>
      <c r="S53">
        <v>83258796.981701732</v>
      </c>
      <c r="T53">
        <v>11658347227.432261</v>
      </c>
      <c r="U53">
        <v>45</v>
      </c>
      <c r="V53">
        <v>16.100000000000001</v>
      </c>
      <c r="W53">
        <v>2389.945816398958</v>
      </c>
      <c r="X53" t="b">
        <v>1</v>
      </c>
    </row>
    <row r="54" spans="1:24" x14ac:dyDescent="0.25">
      <c r="A54">
        <v>53</v>
      </c>
      <c r="B54" t="s">
        <v>76</v>
      </c>
      <c r="C54">
        <v>-1</v>
      </c>
      <c r="D54">
        <v>-1</v>
      </c>
      <c r="E54">
        <v>1</v>
      </c>
      <c r="F54">
        <v>-1</v>
      </c>
      <c r="G54">
        <v>1</v>
      </c>
      <c r="H54">
        <v>1</v>
      </c>
      <c r="I54">
        <v>-1</v>
      </c>
      <c r="J54">
        <v>500</v>
      </c>
      <c r="K54">
        <v>1500</v>
      </c>
      <c r="L54">
        <v>2000</v>
      </c>
      <c r="M54">
        <v>30</v>
      </c>
      <c r="N54">
        <v>12</v>
      </c>
      <c r="O54">
        <v>75</v>
      </c>
      <c r="P54">
        <v>75</v>
      </c>
      <c r="Q54">
        <v>7.8987271443688627</v>
      </c>
      <c r="R54">
        <v>83659755.253905505</v>
      </c>
      <c r="S54">
        <v>657704.2722764085</v>
      </c>
      <c r="T54">
        <v>2965151882.7246022</v>
      </c>
      <c r="U54">
        <v>18</v>
      </c>
      <c r="V54">
        <v>12.7</v>
      </c>
      <c r="W54">
        <v>2981.6987023432312</v>
      </c>
      <c r="X54" t="b">
        <v>1</v>
      </c>
    </row>
    <row r="55" spans="1:24" x14ac:dyDescent="0.25">
      <c r="A55">
        <v>54</v>
      </c>
      <c r="B55" t="s">
        <v>77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5000</v>
      </c>
      <c r="K55">
        <v>1500</v>
      </c>
      <c r="L55">
        <v>2000</v>
      </c>
      <c r="M55">
        <v>30</v>
      </c>
      <c r="N55">
        <v>12</v>
      </c>
      <c r="O55">
        <v>75</v>
      </c>
      <c r="P55">
        <v>75</v>
      </c>
      <c r="Q55">
        <v>8.3497148951105942</v>
      </c>
      <c r="R55">
        <v>38154783.534189627</v>
      </c>
      <c r="S55">
        <v>13416008.734613581</v>
      </c>
      <c r="T55">
        <v>8263879172.1757374</v>
      </c>
      <c r="U55">
        <v>20</v>
      </c>
      <c r="V55">
        <v>14.6</v>
      </c>
      <c r="W55">
        <v>2861.2442302430618</v>
      </c>
      <c r="X55" t="b">
        <v>1</v>
      </c>
    </row>
    <row r="56" spans="1:24" x14ac:dyDescent="0.25">
      <c r="A56">
        <v>55</v>
      </c>
      <c r="B56" t="s">
        <v>78</v>
      </c>
      <c r="C56">
        <v>-1</v>
      </c>
      <c r="D56">
        <v>1</v>
      </c>
      <c r="E56">
        <v>1</v>
      </c>
      <c r="F56">
        <v>-1</v>
      </c>
      <c r="G56">
        <v>1</v>
      </c>
      <c r="H56">
        <v>1</v>
      </c>
      <c r="I56">
        <v>-1</v>
      </c>
      <c r="J56">
        <v>500</v>
      </c>
      <c r="K56">
        <v>5000</v>
      </c>
      <c r="L56">
        <v>2000</v>
      </c>
      <c r="M56">
        <v>30</v>
      </c>
      <c r="N56">
        <v>12</v>
      </c>
      <c r="O56">
        <v>75</v>
      </c>
      <c r="P56">
        <v>75</v>
      </c>
      <c r="Q56">
        <v>10.40821426005925</v>
      </c>
      <c r="R56">
        <v>16592957.24099583</v>
      </c>
      <c r="S56">
        <v>32466349.7425984</v>
      </c>
      <c r="T56">
        <v>10700219105.252171</v>
      </c>
      <c r="U56">
        <v>36</v>
      </c>
      <c r="V56">
        <v>16.100000000000001</v>
      </c>
      <c r="W56">
        <v>2634.2519004534238</v>
      </c>
      <c r="X56" t="b">
        <v>1</v>
      </c>
    </row>
    <row r="57" spans="1:24" x14ac:dyDescent="0.25">
      <c r="A57">
        <v>56</v>
      </c>
      <c r="B57" t="s">
        <v>79</v>
      </c>
      <c r="C57">
        <v>1</v>
      </c>
      <c r="D57">
        <v>1</v>
      </c>
      <c r="E57">
        <v>1</v>
      </c>
      <c r="F57">
        <v>-1</v>
      </c>
      <c r="G57">
        <v>1</v>
      </c>
      <c r="H57">
        <v>1</v>
      </c>
      <c r="I57">
        <v>-1</v>
      </c>
      <c r="J57">
        <v>5000</v>
      </c>
      <c r="K57">
        <v>5000</v>
      </c>
      <c r="L57">
        <v>2000</v>
      </c>
      <c r="M57">
        <v>30</v>
      </c>
      <c r="N57">
        <v>12</v>
      </c>
      <c r="O57">
        <v>75</v>
      </c>
      <c r="P57">
        <v>75</v>
      </c>
      <c r="Q57">
        <v>11.242995759569689</v>
      </c>
      <c r="R57">
        <v>4644767.2969188206</v>
      </c>
      <c r="S57">
        <v>80630800.566206127</v>
      </c>
      <c r="T57">
        <v>12489362576.91301</v>
      </c>
      <c r="U57">
        <v>42</v>
      </c>
      <c r="V57">
        <v>15.1</v>
      </c>
      <c r="W57">
        <v>2245.7124251645391</v>
      </c>
      <c r="X57" t="b">
        <v>1</v>
      </c>
    </row>
    <row r="58" spans="1:24" x14ac:dyDescent="0.25">
      <c r="A58">
        <v>57</v>
      </c>
      <c r="B58" t="s">
        <v>80</v>
      </c>
      <c r="C58">
        <v>-1</v>
      </c>
      <c r="D58">
        <v>-1</v>
      </c>
      <c r="E58">
        <v>-1</v>
      </c>
      <c r="F58">
        <v>1</v>
      </c>
      <c r="G58">
        <v>1</v>
      </c>
      <c r="H58">
        <v>1</v>
      </c>
      <c r="I58">
        <v>-1</v>
      </c>
      <c r="J58">
        <v>500</v>
      </c>
      <c r="K58">
        <v>1500</v>
      </c>
      <c r="L58">
        <v>500</v>
      </c>
      <c r="M58">
        <v>60</v>
      </c>
      <c r="N58">
        <v>12</v>
      </c>
      <c r="O58">
        <v>75</v>
      </c>
      <c r="P58">
        <v>75</v>
      </c>
      <c r="Q58">
        <v>10.368236007747701</v>
      </c>
      <c r="R58">
        <v>84107445.49838227</v>
      </c>
      <c r="S58">
        <v>1157357.124469297</v>
      </c>
      <c r="T58">
        <v>2236052215.191627</v>
      </c>
      <c r="U58">
        <v>19</v>
      </c>
      <c r="V58">
        <v>12.4</v>
      </c>
      <c r="W58">
        <v>2781.91752741748</v>
      </c>
      <c r="X58" t="b">
        <v>1</v>
      </c>
    </row>
    <row r="59" spans="1:24" x14ac:dyDescent="0.25">
      <c r="A59">
        <v>58</v>
      </c>
      <c r="B59" t="s">
        <v>81</v>
      </c>
      <c r="C59">
        <v>1</v>
      </c>
      <c r="D59">
        <v>-1</v>
      </c>
      <c r="E59">
        <v>-1</v>
      </c>
      <c r="F59">
        <v>1</v>
      </c>
      <c r="G59">
        <v>1</v>
      </c>
      <c r="H59">
        <v>1</v>
      </c>
      <c r="I59">
        <v>-1</v>
      </c>
      <c r="J59">
        <v>5000</v>
      </c>
      <c r="K59">
        <v>1500</v>
      </c>
      <c r="L59">
        <v>500</v>
      </c>
      <c r="M59">
        <v>60</v>
      </c>
      <c r="N59">
        <v>12</v>
      </c>
      <c r="O59">
        <v>75</v>
      </c>
      <c r="P59">
        <v>75</v>
      </c>
      <c r="Q59">
        <v>10.69458407167301</v>
      </c>
      <c r="R59">
        <v>44013436.075619653</v>
      </c>
      <c r="S59">
        <v>20458341.471771311</v>
      </c>
      <c r="T59">
        <v>6997073526.3676243</v>
      </c>
      <c r="U59">
        <v>21</v>
      </c>
      <c r="V59">
        <v>13.6</v>
      </c>
      <c r="W59">
        <v>2696.744360275748</v>
      </c>
      <c r="X59" t="b">
        <v>1</v>
      </c>
    </row>
    <row r="60" spans="1:24" x14ac:dyDescent="0.25">
      <c r="A60">
        <v>59</v>
      </c>
      <c r="B60" t="s">
        <v>82</v>
      </c>
      <c r="C60">
        <v>-1</v>
      </c>
      <c r="D60">
        <v>1</v>
      </c>
      <c r="E60">
        <v>-1</v>
      </c>
      <c r="F60">
        <v>1</v>
      </c>
      <c r="G60">
        <v>1</v>
      </c>
      <c r="H60">
        <v>1</v>
      </c>
      <c r="I60">
        <v>-1</v>
      </c>
      <c r="J60">
        <v>500</v>
      </c>
      <c r="K60">
        <v>5000</v>
      </c>
      <c r="L60">
        <v>500</v>
      </c>
      <c r="M60">
        <v>60</v>
      </c>
      <c r="N60">
        <v>12</v>
      </c>
      <c r="O60">
        <v>75</v>
      </c>
      <c r="P60">
        <v>75</v>
      </c>
      <c r="Q60">
        <v>13.73184734784923</v>
      </c>
      <c r="R60">
        <v>18659922.27905836</v>
      </c>
      <c r="S60">
        <v>34377239.368859202</v>
      </c>
      <c r="T60">
        <v>9682985036.9233799</v>
      </c>
      <c r="U60">
        <v>37</v>
      </c>
      <c r="V60">
        <v>16.8</v>
      </c>
      <c r="W60">
        <v>2362.3739909305018</v>
      </c>
      <c r="X60" t="b">
        <v>1</v>
      </c>
    </row>
    <row r="61" spans="1:24" x14ac:dyDescent="0.25">
      <c r="A61">
        <v>60</v>
      </c>
      <c r="B61" t="s">
        <v>83</v>
      </c>
      <c r="C61">
        <v>1</v>
      </c>
      <c r="D61">
        <v>1</v>
      </c>
      <c r="E61">
        <v>-1</v>
      </c>
      <c r="F61">
        <v>1</v>
      </c>
      <c r="G61">
        <v>1</v>
      </c>
      <c r="H61">
        <v>1</v>
      </c>
      <c r="I61">
        <v>-1</v>
      </c>
      <c r="J61">
        <v>5000</v>
      </c>
      <c r="K61">
        <v>5000</v>
      </c>
      <c r="L61">
        <v>500</v>
      </c>
      <c r="M61">
        <v>60</v>
      </c>
      <c r="N61">
        <v>12</v>
      </c>
      <c r="O61">
        <v>75</v>
      </c>
      <c r="P61">
        <v>75</v>
      </c>
      <c r="Q61">
        <v>17.270402042262418</v>
      </c>
      <c r="R61">
        <v>6798829.2748433156</v>
      </c>
      <c r="S61">
        <v>82455054.835405588</v>
      </c>
      <c r="T61">
        <v>11383534186.21336</v>
      </c>
      <c r="U61">
        <v>43</v>
      </c>
      <c r="V61">
        <v>16.7</v>
      </c>
      <c r="W61">
        <v>1990.3633482965961</v>
      </c>
      <c r="X61" t="b">
        <v>1</v>
      </c>
    </row>
    <row r="62" spans="1:24" x14ac:dyDescent="0.25">
      <c r="A62">
        <v>61</v>
      </c>
      <c r="B62" t="s">
        <v>84</v>
      </c>
      <c r="C62">
        <v>-1</v>
      </c>
      <c r="D62">
        <v>-1</v>
      </c>
      <c r="E62">
        <v>1</v>
      </c>
      <c r="F62">
        <v>1</v>
      </c>
      <c r="G62">
        <v>1</v>
      </c>
      <c r="H62">
        <v>1</v>
      </c>
      <c r="I62">
        <v>-1</v>
      </c>
      <c r="J62">
        <v>500</v>
      </c>
      <c r="K62">
        <v>1500</v>
      </c>
      <c r="L62">
        <v>2000</v>
      </c>
      <c r="M62">
        <v>60</v>
      </c>
      <c r="N62">
        <v>12</v>
      </c>
      <c r="O62">
        <v>75</v>
      </c>
      <c r="P62">
        <v>75</v>
      </c>
      <c r="Q62">
        <v>10.27211419480594</v>
      </c>
      <c r="R62">
        <v>83641978.278080627</v>
      </c>
      <c r="S62">
        <v>634764.13662415254</v>
      </c>
      <c r="T62">
        <v>2972057113.2091508</v>
      </c>
      <c r="U62">
        <v>18</v>
      </c>
      <c r="V62">
        <v>12.4</v>
      </c>
      <c r="W62">
        <v>2796.7486277063908</v>
      </c>
      <c r="X62" t="b">
        <v>1</v>
      </c>
    </row>
    <row r="63" spans="1:24" x14ac:dyDescent="0.25">
      <c r="A63">
        <v>62</v>
      </c>
      <c r="B63" t="s">
        <v>85</v>
      </c>
      <c r="C63">
        <v>1</v>
      </c>
      <c r="D63">
        <v>-1</v>
      </c>
      <c r="E63">
        <v>1</v>
      </c>
      <c r="F63">
        <v>1</v>
      </c>
      <c r="G63">
        <v>1</v>
      </c>
      <c r="H63">
        <v>1</v>
      </c>
      <c r="I63">
        <v>-1</v>
      </c>
      <c r="J63">
        <v>5000</v>
      </c>
      <c r="K63">
        <v>1500</v>
      </c>
      <c r="L63">
        <v>2000</v>
      </c>
      <c r="M63">
        <v>60</v>
      </c>
      <c r="N63">
        <v>12</v>
      </c>
      <c r="O63">
        <v>75</v>
      </c>
      <c r="P63">
        <v>75</v>
      </c>
      <c r="Q63">
        <v>10.55071956620934</v>
      </c>
      <c r="R63">
        <v>38135819.108568273</v>
      </c>
      <c r="S63">
        <v>13319083.22801125</v>
      </c>
      <c r="T63">
        <v>8264395204.4254065</v>
      </c>
      <c r="U63">
        <v>20</v>
      </c>
      <c r="V63">
        <v>14.6</v>
      </c>
      <c r="W63">
        <v>2671.0693015533279</v>
      </c>
      <c r="X63" t="b">
        <v>1</v>
      </c>
    </row>
    <row r="64" spans="1:24" x14ac:dyDescent="0.25">
      <c r="A64">
        <v>63</v>
      </c>
      <c r="B64" t="s">
        <v>86</v>
      </c>
      <c r="C64">
        <v>-1</v>
      </c>
      <c r="D64">
        <v>1</v>
      </c>
      <c r="E64">
        <v>1</v>
      </c>
      <c r="F64">
        <v>1</v>
      </c>
      <c r="G64">
        <v>1</v>
      </c>
      <c r="H64">
        <v>1</v>
      </c>
      <c r="I64">
        <v>-1</v>
      </c>
      <c r="J64">
        <v>500</v>
      </c>
      <c r="K64">
        <v>5000</v>
      </c>
      <c r="L64">
        <v>2000</v>
      </c>
      <c r="M64">
        <v>60</v>
      </c>
      <c r="N64">
        <v>12</v>
      </c>
      <c r="O64">
        <v>75</v>
      </c>
      <c r="P64">
        <v>75</v>
      </c>
      <c r="Q64">
        <v>13.18980264142607</v>
      </c>
      <c r="R64">
        <v>16557683.40309288</v>
      </c>
      <c r="S64">
        <v>31945369.320299741</v>
      </c>
      <c r="T64">
        <v>10612867910.907471</v>
      </c>
      <c r="U64">
        <v>34</v>
      </c>
      <c r="V64">
        <v>16.899999999999999</v>
      </c>
      <c r="W64">
        <v>2386.054769682692</v>
      </c>
      <c r="X64" t="b">
        <v>1</v>
      </c>
    </row>
    <row r="65" spans="1:24" x14ac:dyDescent="0.25">
      <c r="A65">
        <v>64</v>
      </c>
      <c r="B65" t="s">
        <v>87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5000</v>
      </c>
      <c r="K65">
        <v>5000</v>
      </c>
      <c r="L65">
        <v>2000</v>
      </c>
      <c r="M65">
        <v>60</v>
      </c>
      <c r="N65">
        <v>12</v>
      </c>
      <c r="O65">
        <v>75</v>
      </c>
      <c r="P65">
        <v>75</v>
      </c>
      <c r="Q65">
        <v>17.52320135607296</v>
      </c>
      <c r="R65">
        <v>4640286.5078578349</v>
      </c>
      <c r="S65">
        <v>79935054.729464576</v>
      </c>
      <c r="T65">
        <v>12201290303.78137</v>
      </c>
      <c r="U65">
        <v>39</v>
      </c>
      <c r="V65">
        <v>15.5</v>
      </c>
      <c r="W65">
        <v>1844.268255621166</v>
      </c>
      <c r="X65" t="b">
        <v>1</v>
      </c>
    </row>
    <row r="66" spans="1:24" x14ac:dyDescent="0.25">
      <c r="A66">
        <v>65</v>
      </c>
      <c r="B66" t="s">
        <v>88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1</v>
      </c>
      <c r="J66">
        <v>500</v>
      </c>
      <c r="K66">
        <v>1500</v>
      </c>
      <c r="L66">
        <v>500</v>
      </c>
      <c r="M66">
        <v>30</v>
      </c>
      <c r="N66">
        <v>6</v>
      </c>
      <c r="O66">
        <v>60</v>
      </c>
      <c r="P66">
        <v>95</v>
      </c>
      <c r="Q66">
        <v>9.5574967567461329</v>
      </c>
      <c r="R66">
        <v>84187918.15702495</v>
      </c>
      <c r="S66">
        <v>1222302.0238140151</v>
      </c>
      <c r="T66">
        <v>1744957731.813566</v>
      </c>
      <c r="U66">
        <v>18</v>
      </c>
      <c r="V66">
        <v>14.4</v>
      </c>
      <c r="W66">
        <v>2120.9230400832921</v>
      </c>
      <c r="X66" t="b">
        <v>1</v>
      </c>
    </row>
    <row r="67" spans="1:24" x14ac:dyDescent="0.25">
      <c r="A67">
        <v>66</v>
      </c>
      <c r="B67" t="s">
        <v>89</v>
      </c>
      <c r="C67">
        <v>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1</v>
      </c>
      <c r="J67">
        <v>5000</v>
      </c>
      <c r="K67">
        <v>1500</v>
      </c>
      <c r="L67">
        <v>500</v>
      </c>
      <c r="M67">
        <v>30</v>
      </c>
      <c r="N67">
        <v>6</v>
      </c>
      <c r="O67">
        <v>60</v>
      </c>
      <c r="P67">
        <v>95</v>
      </c>
      <c r="Q67">
        <v>10.430603250240519</v>
      </c>
      <c r="R67">
        <v>44091776.263516553</v>
      </c>
      <c r="S67">
        <v>20601791.24090381</v>
      </c>
      <c r="T67">
        <v>6497549136.7163534</v>
      </c>
      <c r="U67">
        <v>23</v>
      </c>
      <c r="V67">
        <v>14.8</v>
      </c>
      <c r="W67">
        <v>2061.7505233241632</v>
      </c>
      <c r="X67" t="b">
        <v>1</v>
      </c>
    </row>
    <row r="68" spans="1:24" x14ac:dyDescent="0.25">
      <c r="A68">
        <v>67</v>
      </c>
      <c r="B68" t="s">
        <v>90</v>
      </c>
      <c r="C68">
        <v>-1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1</v>
      </c>
      <c r="J68">
        <v>500</v>
      </c>
      <c r="K68">
        <v>5000</v>
      </c>
      <c r="L68">
        <v>500</v>
      </c>
      <c r="M68">
        <v>30</v>
      </c>
      <c r="N68">
        <v>6</v>
      </c>
      <c r="O68">
        <v>60</v>
      </c>
      <c r="P68">
        <v>95</v>
      </c>
      <c r="Q68">
        <v>11.96861834193979</v>
      </c>
      <c r="R68">
        <v>18770399.73635279</v>
      </c>
      <c r="S68">
        <v>35178367.107151091</v>
      </c>
      <c r="T68">
        <v>9405795708.5274506</v>
      </c>
      <c r="U68">
        <v>30</v>
      </c>
      <c r="V68">
        <v>15.1</v>
      </c>
      <c r="W68">
        <v>1982.9929669817229</v>
      </c>
      <c r="X68" t="b">
        <v>1</v>
      </c>
    </row>
    <row r="69" spans="1:24" x14ac:dyDescent="0.25">
      <c r="A69">
        <v>68</v>
      </c>
      <c r="B69" t="s">
        <v>91</v>
      </c>
      <c r="C69">
        <v>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1</v>
      </c>
      <c r="J69">
        <v>5000</v>
      </c>
      <c r="K69">
        <v>5000</v>
      </c>
      <c r="L69">
        <v>500</v>
      </c>
      <c r="M69">
        <v>30</v>
      </c>
      <c r="N69">
        <v>6</v>
      </c>
      <c r="O69">
        <v>60</v>
      </c>
      <c r="P69">
        <v>95</v>
      </c>
      <c r="Q69">
        <v>13.366097118231121</v>
      </c>
      <c r="R69">
        <v>6896147.0029839836</v>
      </c>
      <c r="S69">
        <v>83451652.250753805</v>
      </c>
      <c r="T69">
        <v>11291417692.48992</v>
      </c>
      <c r="U69">
        <v>36</v>
      </c>
      <c r="V69">
        <v>15</v>
      </c>
      <c r="W69">
        <v>1909.966944241658</v>
      </c>
      <c r="X69" t="b">
        <v>1</v>
      </c>
    </row>
    <row r="70" spans="1:24" x14ac:dyDescent="0.25">
      <c r="A70">
        <v>69</v>
      </c>
      <c r="B70" t="s">
        <v>92</v>
      </c>
      <c r="C70">
        <v>-1</v>
      </c>
      <c r="D70">
        <v>-1</v>
      </c>
      <c r="E70">
        <v>1</v>
      </c>
      <c r="F70">
        <v>-1</v>
      </c>
      <c r="G70">
        <v>-1</v>
      </c>
      <c r="H70">
        <v>-1</v>
      </c>
      <c r="I70">
        <v>1</v>
      </c>
      <c r="J70">
        <v>500</v>
      </c>
      <c r="K70">
        <v>1500</v>
      </c>
      <c r="L70">
        <v>2000</v>
      </c>
      <c r="M70">
        <v>30</v>
      </c>
      <c r="N70">
        <v>6</v>
      </c>
      <c r="O70">
        <v>60</v>
      </c>
      <c r="P70">
        <v>95</v>
      </c>
      <c r="Q70">
        <v>9.4878769923712838</v>
      </c>
      <c r="R70">
        <v>83721645.383554474</v>
      </c>
      <c r="S70">
        <v>670046.47421825514</v>
      </c>
      <c r="T70">
        <v>2468097858.2283301</v>
      </c>
      <c r="U70">
        <v>18</v>
      </c>
      <c r="V70">
        <v>14.4</v>
      </c>
      <c r="W70">
        <v>2125.6564480988382</v>
      </c>
      <c r="X70" t="b">
        <v>1</v>
      </c>
    </row>
    <row r="71" spans="1:24" x14ac:dyDescent="0.25">
      <c r="A71">
        <v>70</v>
      </c>
      <c r="B71" t="s">
        <v>93</v>
      </c>
      <c r="C71">
        <v>1</v>
      </c>
      <c r="D71">
        <v>-1</v>
      </c>
      <c r="E71">
        <v>1</v>
      </c>
      <c r="F71">
        <v>-1</v>
      </c>
      <c r="G71">
        <v>-1</v>
      </c>
      <c r="H71">
        <v>-1</v>
      </c>
      <c r="I71">
        <v>1</v>
      </c>
      <c r="J71">
        <v>5000</v>
      </c>
      <c r="K71">
        <v>1500</v>
      </c>
      <c r="L71">
        <v>2000</v>
      </c>
      <c r="M71">
        <v>30</v>
      </c>
      <c r="N71">
        <v>6</v>
      </c>
      <c r="O71">
        <v>60</v>
      </c>
      <c r="P71">
        <v>95</v>
      </c>
      <c r="Q71">
        <v>9.8275205090793918</v>
      </c>
      <c r="R71">
        <v>38208663.155465543</v>
      </c>
      <c r="S71">
        <v>13418407.60208088</v>
      </c>
      <c r="T71">
        <v>7804309868.3474941</v>
      </c>
      <c r="U71">
        <v>20</v>
      </c>
      <c r="V71">
        <v>14.9</v>
      </c>
      <c r="W71">
        <v>2095.7351753337871</v>
      </c>
      <c r="X71" t="b">
        <v>1</v>
      </c>
    </row>
    <row r="72" spans="1:24" x14ac:dyDescent="0.25">
      <c r="A72">
        <v>71</v>
      </c>
      <c r="B72" t="s">
        <v>94</v>
      </c>
      <c r="C72">
        <v>-1</v>
      </c>
      <c r="D72">
        <v>1</v>
      </c>
      <c r="E72">
        <v>1</v>
      </c>
      <c r="F72">
        <v>-1</v>
      </c>
      <c r="G72">
        <v>-1</v>
      </c>
      <c r="H72">
        <v>-1</v>
      </c>
      <c r="I72">
        <v>1</v>
      </c>
      <c r="J72">
        <v>500</v>
      </c>
      <c r="K72">
        <v>5000</v>
      </c>
      <c r="L72">
        <v>2000</v>
      </c>
      <c r="M72">
        <v>30</v>
      </c>
      <c r="N72">
        <v>6</v>
      </c>
      <c r="O72">
        <v>60</v>
      </c>
      <c r="P72">
        <v>95</v>
      </c>
      <c r="Q72">
        <v>11.62307366450308</v>
      </c>
      <c r="R72">
        <v>16660535.82506237</v>
      </c>
      <c r="S72">
        <v>32650059.328368459</v>
      </c>
      <c r="T72">
        <v>10315947169.20936</v>
      </c>
      <c r="U72">
        <v>28</v>
      </c>
      <c r="V72">
        <v>15.2</v>
      </c>
      <c r="W72">
        <v>1996.8048096965449</v>
      </c>
      <c r="X72" t="b">
        <v>1</v>
      </c>
    </row>
    <row r="73" spans="1:24" x14ac:dyDescent="0.25">
      <c r="A73">
        <v>72</v>
      </c>
      <c r="B73" t="s">
        <v>95</v>
      </c>
      <c r="C73">
        <v>1</v>
      </c>
      <c r="D73">
        <v>1</v>
      </c>
      <c r="E73">
        <v>1</v>
      </c>
      <c r="F73">
        <v>-1</v>
      </c>
      <c r="G73">
        <v>-1</v>
      </c>
      <c r="H73">
        <v>-1</v>
      </c>
      <c r="I73">
        <v>1</v>
      </c>
      <c r="J73">
        <v>5000</v>
      </c>
      <c r="K73">
        <v>5000</v>
      </c>
      <c r="L73">
        <v>2000</v>
      </c>
      <c r="M73">
        <v>30</v>
      </c>
      <c r="N73">
        <v>6</v>
      </c>
      <c r="O73">
        <v>60</v>
      </c>
      <c r="P73">
        <v>95</v>
      </c>
      <c r="Q73">
        <v>12.9027116104056</v>
      </c>
      <c r="R73">
        <v>4692397.7302349266</v>
      </c>
      <c r="S73">
        <v>80780601.911754876</v>
      </c>
      <c r="T73">
        <v>12207921523.16597</v>
      </c>
      <c r="U73">
        <v>34</v>
      </c>
      <c r="V73">
        <v>15</v>
      </c>
      <c r="W73">
        <v>1918.948634882483</v>
      </c>
      <c r="X73" t="b">
        <v>1</v>
      </c>
    </row>
    <row r="74" spans="1:24" x14ac:dyDescent="0.25">
      <c r="A74">
        <v>73</v>
      </c>
      <c r="B74" t="s">
        <v>96</v>
      </c>
      <c r="C74">
        <v>-1</v>
      </c>
      <c r="D74">
        <v>-1</v>
      </c>
      <c r="E74">
        <v>-1</v>
      </c>
      <c r="F74">
        <v>1</v>
      </c>
      <c r="G74">
        <v>-1</v>
      </c>
      <c r="H74">
        <v>-1</v>
      </c>
      <c r="I74">
        <v>1</v>
      </c>
      <c r="J74">
        <v>500</v>
      </c>
      <c r="K74">
        <v>1500</v>
      </c>
      <c r="L74">
        <v>500</v>
      </c>
      <c r="M74">
        <v>60</v>
      </c>
      <c r="N74">
        <v>6</v>
      </c>
      <c r="O74">
        <v>60</v>
      </c>
      <c r="P74">
        <v>95</v>
      </c>
      <c r="Q74">
        <v>11.62096956368072</v>
      </c>
      <c r="R74">
        <v>84176637.777597904</v>
      </c>
      <c r="S74">
        <v>1192434.967716987</v>
      </c>
      <c r="T74">
        <v>1785163760.2714779</v>
      </c>
      <c r="U74">
        <v>18</v>
      </c>
      <c r="V74">
        <v>14.3</v>
      </c>
      <c r="W74">
        <v>1956.1945667397999</v>
      </c>
      <c r="X74" t="b">
        <v>1</v>
      </c>
    </row>
    <row r="75" spans="1:24" x14ac:dyDescent="0.25">
      <c r="A75">
        <v>74</v>
      </c>
      <c r="B75" t="s">
        <v>97</v>
      </c>
      <c r="C75">
        <v>1</v>
      </c>
      <c r="D75">
        <v>-1</v>
      </c>
      <c r="E75">
        <v>-1</v>
      </c>
      <c r="F75">
        <v>1</v>
      </c>
      <c r="G75">
        <v>-1</v>
      </c>
      <c r="H75">
        <v>-1</v>
      </c>
      <c r="I75">
        <v>1</v>
      </c>
      <c r="J75">
        <v>5000</v>
      </c>
      <c r="K75">
        <v>1500</v>
      </c>
      <c r="L75">
        <v>500</v>
      </c>
      <c r="M75">
        <v>60</v>
      </c>
      <c r="N75">
        <v>6</v>
      </c>
      <c r="O75">
        <v>60</v>
      </c>
      <c r="P75">
        <v>95</v>
      </c>
      <c r="Q75">
        <v>13.11218466710085</v>
      </c>
      <c r="R75">
        <v>44082261.627457187</v>
      </c>
      <c r="S75">
        <v>20399795.037284382</v>
      </c>
      <c r="T75">
        <v>6458073854.9166164</v>
      </c>
      <c r="U75">
        <v>23</v>
      </c>
      <c r="V75">
        <v>14.7</v>
      </c>
      <c r="W75">
        <v>1880.2096865559381</v>
      </c>
      <c r="X75" t="b">
        <v>1</v>
      </c>
    </row>
    <row r="76" spans="1:24" x14ac:dyDescent="0.25">
      <c r="A76">
        <v>75</v>
      </c>
      <c r="B76" t="s">
        <v>98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1</v>
      </c>
      <c r="J76">
        <v>500</v>
      </c>
      <c r="K76">
        <v>5000</v>
      </c>
      <c r="L76">
        <v>500</v>
      </c>
      <c r="M76">
        <v>60</v>
      </c>
      <c r="N76">
        <v>6</v>
      </c>
      <c r="O76">
        <v>60</v>
      </c>
      <c r="P76">
        <v>95</v>
      </c>
      <c r="Q76">
        <v>17.78955423093619</v>
      </c>
      <c r="R76">
        <v>18765069.29408377</v>
      </c>
      <c r="S76">
        <v>34767095.148315087</v>
      </c>
      <c r="T76">
        <v>9290934321.8556709</v>
      </c>
      <c r="U76">
        <v>29</v>
      </c>
      <c r="V76">
        <v>15.1</v>
      </c>
      <c r="W76">
        <v>1736.569234193038</v>
      </c>
      <c r="X76" t="b">
        <v>1</v>
      </c>
    </row>
    <row r="77" spans="1:24" x14ac:dyDescent="0.25">
      <c r="A77">
        <v>76</v>
      </c>
      <c r="B77" t="s">
        <v>99</v>
      </c>
      <c r="C77">
        <v>1</v>
      </c>
      <c r="D77">
        <v>1</v>
      </c>
      <c r="E77">
        <v>-1</v>
      </c>
      <c r="F77">
        <v>1</v>
      </c>
      <c r="G77">
        <v>-1</v>
      </c>
      <c r="H77">
        <v>-1</v>
      </c>
      <c r="I77">
        <v>1</v>
      </c>
      <c r="J77">
        <v>5000</v>
      </c>
      <c r="K77">
        <v>5000</v>
      </c>
      <c r="L77">
        <v>500</v>
      </c>
      <c r="M77">
        <v>60</v>
      </c>
      <c r="N77">
        <v>6</v>
      </c>
      <c r="O77">
        <v>60</v>
      </c>
      <c r="P77">
        <v>95</v>
      </c>
      <c r="Q77">
        <v>23.2370922249677</v>
      </c>
      <c r="R77">
        <v>6892193.1476503909</v>
      </c>
      <c r="S77">
        <v>82840428.435545281</v>
      </c>
      <c r="T77">
        <v>11090313507.1917</v>
      </c>
      <c r="U77">
        <v>35</v>
      </c>
      <c r="V77">
        <v>15.2</v>
      </c>
      <c r="W77">
        <v>1585.409143399289</v>
      </c>
      <c r="X77" t="b">
        <v>1</v>
      </c>
    </row>
    <row r="78" spans="1:24" x14ac:dyDescent="0.25">
      <c r="A78">
        <v>77</v>
      </c>
      <c r="B78" t="s">
        <v>100</v>
      </c>
      <c r="C78">
        <v>-1</v>
      </c>
      <c r="D78">
        <v>-1</v>
      </c>
      <c r="E78">
        <v>1</v>
      </c>
      <c r="F78">
        <v>1</v>
      </c>
      <c r="G78">
        <v>-1</v>
      </c>
      <c r="H78">
        <v>-1</v>
      </c>
      <c r="I78">
        <v>1</v>
      </c>
      <c r="J78">
        <v>500</v>
      </c>
      <c r="K78">
        <v>1500</v>
      </c>
      <c r="L78">
        <v>2000</v>
      </c>
      <c r="M78">
        <v>60</v>
      </c>
      <c r="N78">
        <v>6</v>
      </c>
      <c r="O78">
        <v>60</v>
      </c>
      <c r="P78">
        <v>95</v>
      </c>
      <c r="Q78">
        <v>11.4357392342566</v>
      </c>
      <c r="R78">
        <v>83710602.935941756</v>
      </c>
      <c r="S78">
        <v>657295.07487557898</v>
      </c>
      <c r="T78">
        <v>2511926960.3720918</v>
      </c>
      <c r="U78">
        <v>18</v>
      </c>
      <c r="V78">
        <v>14.3</v>
      </c>
      <c r="W78">
        <v>1963.848444743074</v>
      </c>
      <c r="X78" t="b">
        <v>1</v>
      </c>
    </row>
    <row r="79" spans="1:24" x14ac:dyDescent="0.25">
      <c r="A79">
        <v>78</v>
      </c>
      <c r="B79" t="s">
        <v>101</v>
      </c>
      <c r="C79">
        <v>1</v>
      </c>
      <c r="D79">
        <v>-1</v>
      </c>
      <c r="E79">
        <v>1</v>
      </c>
      <c r="F79">
        <v>1</v>
      </c>
      <c r="G79">
        <v>-1</v>
      </c>
      <c r="H79">
        <v>-1</v>
      </c>
      <c r="I79">
        <v>1</v>
      </c>
      <c r="J79">
        <v>5000</v>
      </c>
      <c r="K79">
        <v>1500</v>
      </c>
      <c r="L79">
        <v>2000</v>
      </c>
      <c r="M79">
        <v>60</v>
      </c>
      <c r="N79">
        <v>6</v>
      </c>
      <c r="O79">
        <v>60</v>
      </c>
      <c r="P79">
        <v>95</v>
      </c>
      <c r="Q79">
        <v>11.817339260383759</v>
      </c>
      <c r="R79">
        <v>38202811.28745725</v>
      </c>
      <c r="S79">
        <v>13321630.114858091</v>
      </c>
      <c r="T79">
        <v>7819957648.5294323</v>
      </c>
      <c r="U79">
        <v>20</v>
      </c>
      <c r="V79">
        <v>14.8</v>
      </c>
      <c r="W79">
        <v>1929.272422977273</v>
      </c>
      <c r="X79" t="b">
        <v>1</v>
      </c>
    </row>
    <row r="80" spans="1:24" x14ac:dyDescent="0.25">
      <c r="A80">
        <v>79</v>
      </c>
      <c r="B80" t="s">
        <v>102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1</v>
      </c>
      <c r="J80">
        <v>500</v>
      </c>
      <c r="K80">
        <v>5000</v>
      </c>
      <c r="L80">
        <v>2000</v>
      </c>
      <c r="M80">
        <v>60</v>
      </c>
      <c r="N80">
        <v>6</v>
      </c>
      <c r="O80">
        <v>60</v>
      </c>
      <c r="P80">
        <v>95</v>
      </c>
      <c r="Q80">
        <v>15.77112787776808</v>
      </c>
      <c r="R80">
        <v>16657780.458528919</v>
      </c>
      <c r="S80">
        <v>32305152.17354054</v>
      </c>
      <c r="T80">
        <v>10230927704.12616</v>
      </c>
      <c r="U80">
        <v>27</v>
      </c>
      <c r="V80">
        <v>15</v>
      </c>
      <c r="W80">
        <v>1780.1508690682331</v>
      </c>
      <c r="X80" t="b">
        <v>1</v>
      </c>
    </row>
    <row r="81" spans="1:24" x14ac:dyDescent="0.25">
      <c r="A81">
        <v>80</v>
      </c>
      <c r="B81" t="s">
        <v>103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  <c r="I81">
        <v>1</v>
      </c>
      <c r="J81">
        <v>5000</v>
      </c>
      <c r="K81">
        <v>5000</v>
      </c>
      <c r="L81">
        <v>2000</v>
      </c>
      <c r="M81">
        <v>60</v>
      </c>
      <c r="N81">
        <v>6</v>
      </c>
      <c r="O81">
        <v>60</v>
      </c>
      <c r="P81">
        <v>95</v>
      </c>
      <c r="Q81">
        <v>21.533236313204672</v>
      </c>
      <c r="R81">
        <v>4692182.6163634062</v>
      </c>
      <c r="S81">
        <v>80228177.747460589</v>
      </c>
      <c r="T81">
        <v>12030717108.455669</v>
      </c>
      <c r="U81">
        <v>33</v>
      </c>
      <c r="V81">
        <v>15.1</v>
      </c>
      <c r="W81">
        <v>1610.5079311946811</v>
      </c>
      <c r="X81" t="b">
        <v>1</v>
      </c>
    </row>
    <row r="82" spans="1:24" x14ac:dyDescent="0.25">
      <c r="A82">
        <v>81</v>
      </c>
      <c r="B82" t="s">
        <v>104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500</v>
      </c>
      <c r="K82">
        <v>1500</v>
      </c>
      <c r="L82">
        <v>500</v>
      </c>
      <c r="M82">
        <v>30</v>
      </c>
      <c r="N82">
        <v>12</v>
      </c>
      <c r="O82">
        <v>60</v>
      </c>
      <c r="P82">
        <v>95</v>
      </c>
      <c r="Q82">
        <v>9.5367311351382114</v>
      </c>
      <c r="R82">
        <v>84187938.546300024</v>
      </c>
      <c r="S82">
        <v>1227957.9770354771</v>
      </c>
      <c r="T82">
        <v>1748407771.1533239</v>
      </c>
      <c r="U82">
        <v>18</v>
      </c>
      <c r="V82">
        <v>14.4</v>
      </c>
      <c r="W82">
        <v>2123.489103714579</v>
      </c>
      <c r="X82" t="b">
        <v>1</v>
      </c>
    </row>
    <row r="83" spans="1:24" x14ac:dyDescent="0.25">
      <c r="A83">
        <v>82</v>
      </c>
      <c r="B83" t="s">
        <v>105</v>
      </c>
      <c r="C83">
        <v>1</v>
      </c>
      <c r="D83">
        <v>-1</v>
      </c>
      <c r="E83">
        <v>-1</v>
      </c>
      <c r="F83">
        <v>-1</v>
      </c>
      <c r="G83">
        <v>1</v>
      </c>
      <c r="H83">
        <v>-1</v>
      </c>
      <c r="I83">
        <v>1</v>
      </c>
      <c r="J83">
        <v>5000</v>
      </c>
      <c r="K83">
        <v>1500</v>
      </c>
      <c r="L83">
        <v>500</v>
      </c>
      <c r="M83">
        <v>30</v>
      </c>
      <c r="N83">
        <v>12</v>
      </c>
      <c r="O83">
        <v>60</v>
      </c>
      <c r="P83">
        <v>95</v>
      </c>
      <c r="Q83">
        <v>9.6385907756016707</v>
      </c>
      <c r="R83">
        <v>44093663.452162489</v>
      </c>
      <c r="S83">
        <v>20695719.283303931</v>
      </c>
      <c r="T83">
        <v>6553324902.3346663</v>
      </c>
      <c r="U83">
        <v>19</v>
      </c>
      <c r="V83">
        <v>14.7</v>
      </c>
      <c r="W83">
        <v>2112.166790817424</v>
      </c>
      <c r="X83" t="b">
        <v>1</v>
      </c>
    </row>
    <row r="84" spans="1:24" x14ac:dyDescent="0.25">
      <c r="A84">
        <v>83</v>
      </c>
      <c r="B84" t="s">
        <v>106</v>
      </c>
      <c r="C84">
        <v>-1</v>
      </c>
      <c r="D84">
        <v>1</v>
      </c>
      <c r="E84">
        <v>-1</v>
      </c>
      <c r="F84">
        <v>-1</v>
      </c>
      <c r="G84">
        <v>1</v>
      </c>
      <c r="H84">
        <v>-1</v>
      </c>
      <c r="I84">
        <v>1</v>
      </c>
      <c r="J84">
        <v>500</v>
      </c>
      <c r="K84">
        <v>5000</v>
      </c>
      <c r="L84">
        <v>500</v>
      </c>
      <c r="M84">
        <v>30</v>
      </c>
      <c r="N84">
        <v>12</v>
      </c>
      <c r="O84">
        <v>60</v>
      </c>
      <c r="P84">
        <v>95</v>
      </c>
      <c r="Q84">
        <v>11.500238027005279</v>
      </c>
      <c r="R84">
        <v>18768686.015018661</v>
      </c>
      <c r="S84">
        <v>35233618.327111863</v>
      </c>
      <c r="T84">
        <v>9439915435.4232063</v>
      </c>
      <c r="U84">
        <v>27</v>
      </c>
      <c r="V84">
        <v>15.2</v>
      </c>
      <c r="W84">
        <v>2005.644542802175</v>
      </c>
      <c r="X84" t="b">
        <v>1</v>
      </c>
    </row>
    <row r="85" spans="1:24" x14ac:dyDescent="0.25">
      <c r="A85">
        <v>84</v>
      </c>
      <c r="B85" t="s">
        <v>107</v>
      </c>
      <c r="C85">
        <v>1</v>
      </c>
      <c r="D85">
        <v>1</v>
      </c>
      <c r="E85">
        <v>-1</v>
      </c>
      <c r="F85">
        <v>-1</v>
      </c>
      <c r="G85">
        <v>1</v>
      </c>
      <c r="H85">
        <v>-1</v>
      </c>
      <c r="I85">
        <v>1</v>
      </c>
      <c r="J85">
        <v>5000</v>
      </c>
      <c r="K85">
        <v>5000</v>
      </c>
      <c r="L85">
        <v>500</v>
      </c>
      <c r="M85">
        <v>30</v>
      </c>
      <c r="N85">
        <v>12</v>
      </c>
      <c r="O85">
        <v>60</v>
      </c>
      <c r="P85">
        <v>95</v>
      </c>
      <c r="Q85">
        <v>12.04722921539496</v>
      </c>
      <c r="R85">
        <v>6895410.2211737419</v>
      </c>
      <c r="S85">
        <v>83550463.478357136</v>
      </c>
      <c r="T85">
        <v>11365157836.727301</v>
      </c>
      <c r="U85">
        <v>32</v>
      </c>
      <c r="V85">
        <v>15.1</v>
      </c>
      <c r="W85">
        <v>1952.1241461374459</v>
      </c>
      <c r="X85" t="b">
        <v>1</v>
      </c>
    </row>
    <row r="86" spans="1:24" x14ac:dyDescent="0.25">
      <c r="A86">
        <v>85</v>
      </c>
      <c r="B86" t="s">
        <v>108</v>
      </c>
      <c r="C86">
        <v>-1</v>
      </c>
      <c r="D86">
        <v>-1</v>
      </c>
      <c r="E86">
        <v>1</v>
      </c>
      <c r="F86">
        <v>-1</v>
      </c>
      <c r="G86">
        <v>1</v>
      </c>
      <c r="H86">
        <v>-1</v>
      </c>
      <c r="I86">
        <v>1</v>
      </c>
      <c r="J86">
        <v>500</v>
      </c>
      <c r="K86">
        <v>1500</v>
      </c>
      <c r="L86">
        <v>2000</v>
      </c>
      <c r="M86">
        <v>30</v>
      </c>
      <c r="N86">
        <v>12</v>
      </c>
      <c r="O86">
        <v>60</v>
      </c>
      <c r="P86">
        <v>95</v>
      </c>
      <c r="Q86">
        <v>9.4867037081849901</v>
      </c>
      <c r="R86">
        <v>83721661.180975243</v>
      </c>
      <c r="S86">
        <v>671603.77474682394</v>
      </c>
      <c r="T86">
        <v>2469289473.2905312</v>
      </c>
      <c r="U86">
        <v>18</v>
      </c>
      <c r="V86">
        <v>14.4</v>
      </c>
      <c r="W86">
        <v>2126.3366201375452</v>
      </c>
      <c r="X86" t="b">
        <v>1</v>
      </c>
    </row>
    <row r="87" spans="1:24" x14ac:dyDescent="0.25">
      <c r="A87">
        <v>86</v>
      </c>
      <c r="B87" t="s">
        <v>109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  <c r="I87">
        <v>1</v>
      </c>
      <c r="J87">
        <v>5000</v>
      </c>
      <c r="K87">
        <v>1500</v>
      </c>
      <c r="L87">
        <v>2000</v>
      </c>
      <c r="M87">
        <v>30</v>
      </c>
      <c r="N87">
        <v>12</v>
      </c>
      <c r="O87">
        <v>60</v>
      </c>
      <c r="P87">
        <v>95</v>
      </c>
      <c r="Q87">
        <v>9.563601377569583</v>
      </c>
      <c r="R87">
        <v>38209712.833524257</v>
      </c>
      <c r="S87">
        <v>13451667.37118331</v>
      </c>
      <c r="T87">
        <v>7823801354.8004417</v>
      </c>
      <c r="U87">
        <v>18</v>
      </c>
      <c r="V87">
        <v>14.8</v>
      </c>
      <c r="W87">
        <v>2114.899225917035</v>
      </c>
      <c r="X87" t="b">
        <v>1</v>
      </c>
    </row>
    <row r="88" spans="1:24" x14ac:dyDescent="0.25">
      <c r="A88">
        <v>87</v>
      </c>
      <c r="B88" t="s">
        <v>110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500</v>
      </c>
      <c r="K88">
        <v>5000</v>
      </c>
      <c r="L88">
        <v>2000</v>
      </c>
      <c r="M88">
        <v>30</v>
      </c>
      <c r="N88">
        <v>12</v>
      </c>
      <c r="O88">
        <v>60</v>
      </c>
      <c r="P88">
        <v>95</v>
      </c>
      <c r="Q88">
        <v>11.15902358208743</v>
      </c>
      <c r="R88">
        <v>16660873.53334035</v>
      </c>
      <c r="S88">
        <v>32686481.980103102</v>
      </c>
      <c r="T88">
        <v>10336364244.33832</v>
      </c>
      <c r="U88">
        <v>26</v>
      </c>
      <c r="V88">
        <v>15.2</v>
      </c>
      <c r="W88">
        <v>2014.9515725495619</v>
      </c>
      <c r="X88" t="b">
        <v>1</v>
      </c>
    </row>
    <row r="89" spans="1:24" x14ac:dyDescent="0.25">
      <c r="A89">
        <v>88</v>
      </c>
      <c r="B89" t="s">
        <v>111</v>
      </c>
      <c r="C89">
        <v>1</v>
      </c>
      <c r="D89">
        <v>1</v>
      </c>
      <c r="E89">
        <v>1</v>
      </c>
      <c r="F89">
        <v>-1</v>
      </c>
      <c r="G89">
        <v>1</v>
      </c>
      <c r="H89">
        <v>-1</v>
      </c>
      <c r="I89">
        <v>1</v>
      </c>
      <c r="J89">
        <v>5000</v>
      </c>
      <c r="K89">
        <v>5000</v>
      </c>
      <c r="L89">
        <v>2000</v>
      </c>
      <c r="M89">
        <v>30</v>
      </c>
      <c r="N89">
        <v>12</v>
      </c>
      <c r="O89">
        <v>60</v>
      </c>
      <c r="P89">
        <v>95</v>
      </c>
      <c r="Q89">
        <v>11.93219037266101</v>
      </c>
      <c r="R89">
        <v>4693283.8206288489</v>
      </c>
      <c r="S89">
        <v>80855291.559364095</v>
      </c>
      <c r="T89">
        <v>12259899324.518841</v>
      </c>
      <c r="U89">
        <v>31</v>
      </c>
      <c r="V89">
        <v>15.2</v>
      </c>
      <c r="W89">
        <v>1951.2818147570999</v>
      </c>
      <c r="X89" t="b">
        <v>1</v>
      </c>
    </row>
    <row r="90" spans="1:24" x14ac:dyDescent="0.25">
      <c r="A90">
        <v>89</v>
      </c>
      <c r="B90" t="s">
        <v>112</v>
      </c>
      <c r="C90">
        <v>-1</v>
      </c>
      <c r="D90">
        <v>-1</v>
      </c>
      <c r="E90">
        <v>-1</v>
      </c>
      <c r="F90">
        <v>1</v>
      </c>
      <c r="G90">
        <v>1</v>
      </c>
      <c r="H90">
        <v>-1</v>
      </c>
      <c r="I90">
        <v>1</v>
      </c>
      <c r="J90">
        <v>500</v>
      </c>
      <c r="K90">
        <v>1500</v>
      </c>
      <c r="L90">
        <v>500</v>
      </c>
      <c r="M90">
        <v>60</v>
      </c>
      <c r="N90">
        <v>12</v>
      </c>
      <c r="O90">
        <v>60</v>
      </c>
      <c r="P90">
        <v>95</v>
      </c>
      <c r="Q90">
        <v>11.5811430871931</v>
      </c>
      <c r="R90">
        <v>84176840.953707814</v>
      </c>
      <c r="S90">
        <v>1201952.543431177</v>
      </c>
      <c r="T90">
        <v>1789570143.145539</v>
      </c>
      <c r="U90">
        <v>18</v>
      </c>
      <c r="V90">
        <v>14.3</v>
      </c>
      <c r="W90">
        <v>1958.7616029290809</v>
      </c>
      <c r="X90" t="b">
        <v>1</v>
      </c>
    </row>
    <row r="91" spans="1:24" x14ac:dyDescent="0.25">
      <c r="A91">
        <v>90</v>
      </c>
      <c r="B91" t="s">
        <v>113</v>
      </c>
      <c r="C91">
        <v>1</v>
      </c>
      <c r="D91">
        <v>-1</v>
      </c>
      <c r="E91">
        <v>-1</v>
      </c>
      <c r="F91">
        <v>1</v>
      </c>
      <c r="G91">
        <v>1</v>
      </c>
      <c r="H91">
        <v>-1</v>
      </c>
      <c r="I91">
        <v>1</v>
      </c>
      <c r="J91">
        <v>5000</v>
      </c>
      <c r="K91">
        <v>1500</v>
      </c>
      <c r="L91">
        <v>500</v>
      </c>
      <c r="M91">
        <v>60</v>
      </c>
      <c r="N91">
        <v>12</v>
      </c>
      <c r="O91">
        <v>60</v>
      </c>
      <c r="P91">
        <v>95</v>
      </c>
      <c r="Q91">
        <v>11.69888374486743</v>
      </c>
      <c r="R91">
        <v>44085082.135709837</v>
      </c>
      <c r="S91">
        <v>20572550.911844429</v>
      </c>
      <c r="T91">
        <v>6579054811.9833889</v>
      </c>
      <c r="U91">
        <v>19</v>
      </c>
      <c r="V91">
        <v>14.8</v>
      </c>
      <c r="W91">
        <v>1945.6780660585409</v>
      </c>
      <c r="X91" t="b">
        <v>1</v>
      </c>
    </row>
    <row r="92" spans="1:24" x14ac:dyDescent="0.25">
      <c r="A92">
        <v>91</v>
      </c>
      <c r="B92" t="s">
        <v>114</v>
      </c>
      <c r="C92">
        <v>-1</v>
      </c>
      <c r="D92">
        <v>1</v>
      </c>
      <c r="E92">
        <v>-1</v>
      </c>
      <c r="F92">
        <v>1</v>
      </c>
      <c r="G92">
        <v>1</v>
      </c>
      <c r="H92">
        <v>-1</v>
      </c>
      <c r="I92">
        <v>1</v>
      </c>
      <c r="J92">
        <v>500</v>
      </c>
      <c r="K92">
        <v>5000</v>
      </c>
      <c r="L92">
        <v>500</v>
      </c>
      <c r="M92">
        <v>60</v>
      </c>
      <c r="N92">
        <v>12</v>
      </c>
      <c r="O92">
        <v>60</v>
      </c>
      <c r="P92">
        <v>95</v>
      </c>
      <c r="Q92">
        <v>15.37850276335908</v>
      </c>
      <c r="R92">
        <v>18765953.171758469</v>
      </c>
      <c r="S92">
        <v>34867574.58216083</v>
      </c>
      <c r="T92">
        <v>9357680424.8804092</v>
      </c>
      <c r="U92">
        <v>26</v>
      </c>
      <c r="V92">
        <v>14.9</v>
      </c>
      <c r="W92">
        <v>1795.8954692075599</v>
      </c>
      <c r="X92" t="b">
        <v>1</v>
      </c>
    </row>
    <row r="93" spans="1:24" x14ac:dyDescent="0.25">
      <c r="A93">
        <v>92</v>
      </c>
      <c r="B93" t="s">
        <v>115</v>
      </c>
      <c r="C93">
        <v>1</v>
      </c>
      <c r="D93">
        <v>1</v>
      </c>
      <c r="E93">
        <v>-1</v>
      </c>
      <c r="F93">
        <v>1</v>
      </c>
      <c r="G93">
        <v>1</v>
      </c>
      <c r="H93">
        <v>-1</v>
      </c>
      <c r="I93">
        <v>1</v>
      </c>
      <c r="J93">
        <v>5000</v>
      </c>
      <c r="K93">
        <v>5000</v>
      </c>
      <c r="L93">
        <v>500</v>
      </c>
      <c r="M93">
        <v>60</v>
      </c>
      <c r="N93">
        <v>12</v>
      </c>
      <c r="O93">
        <v>60</v>
      </c>
      <c r="P93">
        <v>95</v>
      </c>
      <c r="Q93">
        <v>19.018075202569729</v>
      </c>
      <c r="R93">
        <v>6891827.3829141874</v>
      </c>
      <c r="S93">
        <v>83024748.5105059</v>
      </c>
      <c r="T93">
        <v>11212367797.617929</v>
      </c>
      <c r="U93">
        <v>30</v>
      </c>
      <c r="V93">
        <v>15.2</v>
      </c>
      <c r="W93">
        <v>1677.317053908477</v>
      </c>
      <c r="X93" t="b">
        <v>1</v>
      </c>
    </row>
    <row r="94" spans="1:24" x14ac:dyDescent="0.25">
      <c r="A94">
        <v>93</v>
      </c>
      <c r="B94" t="s">
        <v>116</v>
      </c>
      <c r="C94">
        <v>-1</v>
      </c>
      <c r="D94">
        <v>-1</v>
      </c>
      <c r="E94">
        <v>1</v>
      </c>
      <c r="F94">
        <v>1</v>
      </c>
      <c r="G94">
        <v>1</v>
      </c>
      <c r="H94">
        <v>-1</v>
      </c>
      <c r="I94">
        <v>1</v>
      </c>
      <c r="J94">
        <v>500</v>
      </c>
      <c r="K94">
        <v>1500</v>
      </c>
      <c r="L94">
        <v>2000</v>
      </c>
      <c r="M94">
        <v>60</v>
      </c>
      <c r="N94">
        <v>12</v>
      </c>
      <c r="O94">
        <v>60</v>
      </c>
      <c r="P94">
        <v>95</v>
      </c>
      <c r="Q94">
        <v>11.41947575332887</v>
      </c>
      <c r="R94">
        <v>83710541.444960445</v>
      </c>
      <c r="S94">
        <v>659950.71052388824</v>
      </c>
      <c r="T94">
        <v>2513232960.3999438</v>
      </c>
      <c r="U94">
        <v>18</v>
      </c>
      <c r="V94">
        <v>14.3</v>
      </c>
      <c r="W94">
        <v>1965.1872941287099</v>
      </c>
      <c r="X94" t="b">
        <v>1</v>
      </c>
    </row>
    <row r="95" spans="1:24" x14ac:dyDescent="0.25">
      <c r="A95">
        <v>94</v>
      </c>
      <c r="B95" t="s">
        <v>117</v>
      </c>
      <c r="C95">
        <v>1</v>
      </c>
      <c r="D95">
        <v>-1</v>
      </c>
      <c r="E95">
        <v>1</v>
      </c>
      <c r="F95">
        <v>1</v>
      </c>
      <c r="G95">
        <v>1</v>
      </c>
      <c r="H95">
        <v>-1</v>
      </c>
      <c r="I95">
        <v>1</v>
      </c>
      <c r="J95">
        <v>5000</v>
      </c>
      <c r="K95">
        <v>1500</v>
      </c>
      <c r="L95">
        <v>2000</v>
      </c>
      <c r="M95">
        <v>60</v>
      </c>
      <c r="N95">
        <v>12</v>
      </c>
      <c r="O95">
        <v>60</v>
      </c>
      <c r="P95">
        <v>95</v>
      </c>
      <c r="Q95">
        <v>11.59352166734033</v>
      </c>
      <c r="R95">
        <v>38203633.531947993</v>
      </c>
      <c r="S95">
        <v>13383069.77801591</v>
      </c>
      <c r="T95">
        <v>7859687166.3075237</v>
      </c>
      <c r="U95">
        <v>18</v>
      </c>
      <c r="V95">
        <v>14.8</v>
      </c>
      <c r="W95">
        <v>1949.787016216259</v>
      </c>
      <c r="X95" t="b">
        <v>1</v>
      </c>
    </row>
    <row r="96" spans="1:24" x14ac:dyDescent="0.25">
      <c r="A96">
        <v>95</v>
      </c>
      <c r="B96" t="s">
        <v>118</v>
      </c>
      <c r="C96">
        <v>-1</v>
      </c>
      <c r="D96">
        <v>1</v>
      </c>
      <c r="E96">
        <v>1</v>
      </c>
      <c r="F96">
        <v>1</v>
      </c>
      <c r="G96">
        <v>1</v>
      </c>
      <c r="H96">
        <v>-1</v>
      </c>
      <c r="I96">
        <v>1</v>
      </c>
      <c r="J96">
        <v>500</v>
      </c>
      <c r="K96">
        <v>5000</v>
      </c>
      <c r="L96">
        <v>2000</v>
      </c>
      <c r="M96">
        <v>60</v>
      </c>
      <c r="N96">
        <v>12</v>
      </c>
      <c r="O96">
        <v>60</v>
      </c>
      <c r="P96">
        <v>95</v>
      </c>
      <c r="Q96">
        <v>14.540548541461581</v>
      </c>
      <c r="R96">
        <v>16658255.492041061</v>
      </c>
      <c r="S96">
        <v>32371430.5590389</v>
      </c>
      <c r="T96">
        <v>10275343440.853331</v>
      </c>
      <c r="U96">
        <v>25</v>
      </c>
      <c r="V96">
        <v>14.9</v>
      </c>
      <c r="W96">
        <v>1820.466789314775</v>
      </c>
      <c r="X96" t="b">
        <v>1</v>
      </c>
    </row>
    <row r="97" spans="1:24" x14ac:dyDescent="0.25">
      <c r="A97">
        <v>96</v>
      </c>
      <c r="B97" t="s">
        <v>119</v>
      </c>
      <c r="C97">
        <v>1</v>
      </c>
      <c r="D97">
        <v>1</v>
      </c>
      <c r="E97">
        <v>1</v>
      </c>
      <c r="F97">
        <v>1</v>
      </c>
      <c r="G97">
        <v>1</v>
      </c>
      <c r="H97">
        <v>-1</v>
      </c>
      <c r="I97">
        <v>1</v>
      </c>
      <c r="J97">
        <v>5000</v>
      </c>
      <c r="K97">
        <v>5000</v>
      </c>
      <c r="L97">
        <v>2000</v>
      </c>
      <c r="M97">
        <v>60</v>
      </c>
      <c r="N97">
        <v>12</v>
      </c>
      <c r="O97">
        <v>60</v>
      </c>
      <c r="P97">
        <v>95</v>
      </c>
      <c r="Q97">
        <v>18.54010629340371</v>
      </c>
      <c r="R97">
        <v>4691670.851407052</v>
      </c>
      <c r="S97">
        <v>80362226.657325119</v>
      </c>
      <c r="T97">
        <v>12118154515.53997</v>
      </c>
      <c r="U97">
        <v>30</v>
      </c>
      <c r="V97">
        <v>14.9</v>
      </c>
      <c r="W97">
        <v>1681.7480195618091</v>
      </c>
      <c r="X97" t="b">
        <v>1</v>
      </c>
    </row>
    <row r="98" spans="1:24" x14ac:dyDescent="0.25">
      <c r="A98">
        <v>97</v>
      </c>
      <c r="B98" t="s">
        <v>120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1</v>
      </c>
      <c r="I98">
        <v>1</v>
      </c>
      <c r="J98">
        <v>500</v>
      </c>
      <c r="K98">
        <v>1500</v>
      </c>
      <c r="L98">
        <v>500</v>
      </c>
      <c r="M98">
        <v>30</v>
      </c>
      <c r="N98">
        <v>6</v>
      </c>
      <c r="O98">
        <v>75</v>
      </c>
      <c r="P98">
        <v>95</v>
      </c>
      <c r="Q98">
        <v>9.5571843917757917</v>
      </c>
      <c r="R98">
        <v>84187701.629947782</v>
      </c>
      <c r="S98">
        <v>1214366.1783409039</v>
      </c>
      <c r="T98">
        <v>1740844794.2437539</v>
      </c>
      <c r="U98">
        <v>19</v>
      </c>
      <c r="V98">
        <v>14.4</v>
      </c>
      <c r="W98">
        <v>2116.6868352029719</v>
      </c>
      <c r="X98" t="b">
        <v>1</v>
      </c>
    </row>
    <row r="99" spans="1:24" x14ac:dyDescent="0.25">
      <c r="A99">
        <v>98</v>
      </c>
      <c r="B99" t="s">
        <v>121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I99">
        <v>1</v>
      </c>
      <c r="J99">
        <v>5000</v>
      </c>
      <c r="K99">
        <v>1500</v>
      </c>
      <c r="L99">
        <v>500</v>
      </c>
      <c r="M99">
        <v>30</v>
      </c>
      <c r="N99">
        <v>6</v>
      </c>
      <c r="O99">
        <v>75</v>
      </c>
      <c r="P99">
        <v>95</v>
      </c>
      <c r="Q99">
        <v>10.50778967924529</v>
      </c>
      <c r="R99">
        <v>44090321.895444028</v>
      </c>
      <c r="S99">
        <v>20537949.867657792</v>
      </c>
      <c r="T99">
        <v>6482222367.6407557</v>
      </c>
      <c r="U99">
        <v>26</v>
      </c>
      <c r="V99">
        <v>14.8</v>
      </c>
      <c r="W99">
        <v>2036.3380481438901</v>
      </c>
      <c r="X99" t="b">
        <v>1</v>
      </c>
    </row>
    <row r="100" spans="1:24" x14ac:dyDescent="0.25">
      <c r="A100">
        <v>99</v>
      </c>
      <c r="B100" t="s">
        <v>122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1</v>
      </c>
      <c r="I100">
        <v>1</v>
      </c>
      <c r="J100">
        <v>500</v>
      </c>
      <c r="K100">
        <v>5000</v>
      </c>
      <c r="L100">
        <v>500</v>
      </c>
      <c r="M100">
        <v>30</v>
      </c>
      <c r="N100">
        <v>6</v>
      </c>
      <c r="O100">
        <v>75</v>
      </c>
      <c r="P100">
        <v>95</v>
      </c>
      <c r="Q100">
        <v>12.02029866766669</v>
      </c>
      <c r="R100">
        <v>18768066.941739529</v>
      </c>
      <c r="S100">
        <v>35045014.670255817</v>
      </c>
      <c r="T100">
        <v>9381168197.9026775</v>
      </c>
      <c r="U100">
        <v>36</v>
      </c>
      <c r="V100">
        <v>15.1</v>
      </c>
      <c r="W100">
        <v>1941.006366596913</v>
      </c>
      <c r="X100" t="b">
        <v>1</v>
      </c>
    </row>
    <row r="101" spans="1:24" x14ac:dyDescent="0.25">
      <c r="A101">
        <v>100</v>
      </c>
      <c r="B101" t="s">
        <v>123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1</v>
      </c>
      <c r="I101">
        <v>1</v>
      </c>
      <c r="J101">
        <v>5000</v>
      </c>
      <c r="K101">
        <v>5000</v>
      </c>
      <c r="L101">
        <v>500</v>
      </c>
      <c r="M101">
        <v>30</v>
      </c>
      <c r="N101">
        <v>6</v>
      </c>
      <c r="O101">
        <v>75</v>
      </c>
      <c r="P101">
        <v>95</v>
      </c>
      <c r="Q101">
        <v>13.447485977192899</v>
      </c>
      <c r="R101">
        <v>6893503.8764163516</v>
      </c>
      <c r="S101">
        <v>83258563.083960429</v>
      </c>
      <c r="T101">
        <v>11253162275.97924</v>
      </c>
      <c r="U101">
        <v>45</v>
      </c>
      <c r="V101">
        <v>14.8</v>
      </c>
      <c r="W101">
        <v>1856.5213251150419</v>
      </c>
      <c r="X101" t="b">
        <v>1</v>
      </c>
    </row>
    <row r="102" spans="1:24" x14ac:dyDescent="0.25">
      <c r="A102">
        <v>101</v>
      </c>
      <c r="B102" t="s">
        <v>124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500</v>
      </c>
      <c r="K102">
        <v>1500</v>
      </c>
      <c r="L102">
        <v>2000</v>
      </c>
      <c r="M102">
        <v>30</v>
      </c>
      <c r="N102">
        <v>6</v>
      </c>
      <c r="O102">
        <v>75</v>
      </c>
      <c r="P102">
        <v>95</v>
      </c>
      <c r="Q102">
        <v>9.4882352113694708</v>
      </c>
      <c r="R102">
        <v>83721527.109570071</v>
      </c>
      <c r="S102">
        <v>667925.61516336259</v>
      </c>
      <c r="T102">
        <v>2466710471.44663</v>
      </c>
      <c r="U102">
        <v>18</v>
      </c>
      <c r="V102">
        <v>14.4</v>
      </c>
      <c r="W102">
        <v>2124.7364546068429</v>
      </c>
      <c r="X102" t="b">
        <v>1</v>
      </c>
    </row>
    <row r="103" spans="1:24" x14ac:dyDescent="0.25">
      <c r="A103">
        <v>102</v>
      </c>
      <c r="B103" t="s">
        <v>125</v>
      </c>
      <c r="C103">
        <v>1</v>
      </c>
      <c r="D103">
        <v>-1</v>
      </c>
      <c r="E103">
        <v>1</v>
      </c>
      <c r="F103">
        <v>-1</v>
      </c>
      <c r="G103">
        <v>-1</v>
      </c>
      <c r="H103">
        <v>1</v>
      </c>
      <c r="I103">
        <v>1</v>
      </c>
      <c r="J103">
        <v>5000</v>
      </c>
      <c r="K103">
        <v>1500</v>
      </c>
      <c r="L103">
        <v>2000</v>
      </c>
      <c r="M103">
        <v>30</v>
      </c>
      <c r="N103">
        <v>6</v>
      </c>
      <c r="O103">
        <v>75</v>
      </c>
      <c r="P103">
        <v>95</v>
      </c>
      <c r="Q103">
        <v>9.8768312287096904</v>
      </c>
      <c r="R103">
        <v>38207410.5690488</v>
      </c>
      <c r="S103">
        <v>13389726.436165961</v>
      </c>
      <c r="T103">
        <v>7793861021.5330334</v>
      </c>
      <c r="U103">
        <v>21</v>
      </c>
      <c r="V103">
        <v>14.9</v>
      </c>
      <c r="W103">
        <v>2080.7084328187889</v>
      </c>
      <c r="X103" t="b">
        <v>1</v>
      </c>
    </row>
    <row r="104" spans="1:24" x14ac:dyDescent="0.25">
      <c r="A104">
        <v>103</v>
      </c>
      <c r="B104" t="s">
        <v>126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1</v>
      </c>
      <c r="J104">
        <v>500</v>
      </c>
      <c r="K104">
        <v>5000</v>
      </c>
      <c r="L104">
        <v>2000</v>
      </c>
      <c r="M104">
        <v>30</v>
      </c>
      <c r="N104">
        <v>6</v>
      </c>
      <c r="O104">
        <v>75</v>
      </c>
      <c r="P104">
        <v>95</v>
      </c>
      <c r="Q104">
        <v>11.66781844397941</v>
      </c>
      <c r="R104">
        <v>16661212.386478379</v>
      </c>
      <c r="S104">
        <v>32534971.78835145</v>
      </c>
      <c r="T104">
        <v>10293772145.075371</v>
      </c>
      <c r="U104">
        <v>33</v>
      </c>
      <c r="V104">
        <v>15.1</v>
      </c>
      <c r="W104">
        <v>1959.3671642781001</v>
      </c>
      <c r="X104" t="b">
        <v>1</v>
      </c>
    </row>
    <row r="105" spans="1:24" x14ac:dyDescent="0.25">
      <c r="A105">
        <v>104</v>
      </c>
      <c r="B105" t="s">
        <v>127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1</v>
      </c>
      <c r="J105">
        <v>5000</v>
      </c>
      <c r="K105">
        <v>5000</v>
      </c>
      <c r="L105">
        <v>2000</v>
      </c>
      <c r="M105">
        <v>30</v>
      </c>
      <c r="N105">
        <v>6</v>
      </c>
      <c r="O105">
        <v>75</v>
      </c>
      <c r="P105">
        <v>95</v>
      </c>
      <c r="Q105">
        <v>12.92698881859943</v>
      </c>
      <c r="R105">
        <v>4692697.6391077098</v>
      </c>
      <c r="S105">
        <v>80603286.758514032</v>
      </c>
      <c r="T105">
        <v>12168180198.743311</v>
      </c>
      <c r="U105">
        <v>43</v>
      </c>
      <c r="V105">
        <v>14.8</v>
      </c>
      <c r="W105">
        <v>1867.582593229703</v>
      </c>
      <c r="X105" t="b">
        <v>1</v>
      </c>
    </row>
    <row r="106" spans="1:24" x14ac:dyDescent="0.25">
      <c r="A106">
        <v>105</v>
      </c>
      <c r="B106" t="s">
        <v>128</v>
      </c>
      <c r="C106">
        <v>-1</v>
      </c>
      <c r="D106">
        <v>-1</v>
      </c>
      <c r="E106">
        <v>-1</v>
      </c>
      <c r="F106">
        <v>1</v>
      </c>
      <c r="G106">
        <v>-1</v>
      </c>
      <c r="H106">
        <v>1</v>
      </c>
      <c r="I106">
        <v>1</v>
      </c>
      <c r="J106">
        <v>500</v>
      </c>
      <c r="K106">
        <v>1500</v>
      </c>
      <c r="L106">
        <v>500</v>
      </c>
      <c r="M106">
        <v>60</v>
      </c>
      <c r="N106">
        <v>6</v>
      </c>
      <c r="O106">
        <v>75</v>
      </c>
      <c r="P106">
        <v>95</v>
      </c>
      <c r="Q106">
        <v>11.62086301028619</v>
      </c>
      <c r="R106">
        <v>84176146.039378405</v>
      </c>
      <c r="S106">
        <v>1176121.2339595209</v>
      </c>
      <c r="T106">
        <v>1779267557.949003</v>
      </c>
      <c r="U106">
        <v>19</v>
      </c>
      <c r="V106">
        <v>14.3</v>
      </c>
      <c r="W106">
        <v>1950.826376336455</v>
      </c>
      <c r="X106" t="b">
        <v>1</v>
      </c>
    </row>
    <row r="107" spans="1:24" x14ac:dyDescent="0.25">
      <c r="A107">
        <v>106</v>
      </c>
      <c r="B107" t="s">
        <v>129</v>
      </c>
      <c r="C107">
        <v>1</v>
      </c>
      <c r="D107">
        <v>-1</v>
      </c>
      <c r="E107">
        <v>-1</v>
      </c>
      <c r="F107">
        <v>1</v>
      </c>
      <c r="G107">
        <v>-1</v>
      </c>
      <c r="H107">
        <v>1</v>
      </c>
      <c r="I107">
        <v>1</v>
      </c>
      <c r="J107">
        <v>5000</v>
      </c>
      <c r="K107">
        <v>1500</v>
      </c>
      <c r="L107">
        <v>500</v>
      </c>
      <c r="M107">
        <v>60</v>
      </c>
      <c r="N107">
        <v>6</v>
      </c>
      <c r="O107">
        <v>75</v>
      </c>
      <c r="P107">
        <v>95</v>
      </c>
      <c r="Q107">
        <v>13.39154082917069</v>
      </c>
      <c r="R107">
        <v>44080506.217525318</v>
      </c>
      <c r="S107">
        <v>20274430.74957265</v>
      </c>
      <c r="T107">
        <v>6432471638.0363665</v>
      </c>
      <c r="U107">
        <v>26</v>
      </c>
      <c r="V107">
        <v>14.5</v>
      </c>
      <c r="W107">
        <v>1842.720895011219</v>
      </c>
      <c r="X107" t="b">
        <v>1</v>
      </c>
    </row>
    <row r="108" spans="1:24" x14ac:dyDescent="0.25">
      <c r="A108">
        <v>107</v>
      </c>
      <c r="B108" t="s">
        <v>130</v>
      </c>
      <c r="C108">
        <v>-1</v>
      </c>
      <c r="D108">
        <v>1</v>
      </c>
      <c r="E108">
        <v>-1</v>
      </c>
      <c r="F108">
        <v>1</v>
      </c>
      <c r="G108">
        <v>-1</v>
      </c>
      <c r="H108">
        <v>1</v>
      </c>
      <c r="I108">
        <v>1</v>
      </c>
      <c r="J108">
        <v>500</v>
      </c>
      <c r="K108">
        <v>5000</v>
      </c>
      <c r="L108">
        <v>500</v>
      </c>
      <c r="M108">
        <v>60</v>
      </c>
      <c r="N108">
        <v>6</v>
      </c>
      <c r="O108">
        <v>75</v>
      </c>
      <c r="P108">
        <v>95</v>
      </c>
      <c r="Q108">
        <v>19.842894416577881</v>
      </c>
      <c r="R108">
        <v>18758983.496455941</v>
      </c>
      <c r="S108">
        <v>34501097.327303924</v>
      </c>
      <c r="T108">
        <v>9225674216.1875648</v>
      </c>
      <c r="U108">
        <v>35</v>
      </c>
      <c r="V108">
        <v>15.2</v>
      </c>
      <c r="W108">
        <v>1619.5718779907311</v>
      </c>
      <c r="X108" t="b">
        <v>1</v>
      </c>
    </row>
    <row r="109" spans="1:24" x14ac:dyDescent="0.25">
      <c r="A109">
        <v>108</v>
      </c>
      <c r="B109" t="s">
        <v>131</v>
      </c>
      <c r="C109">
        <v>1</v>
      </c>
      <c r="D109">
        <v>1</v>
      </c>
      <c r="E109">
        <v>-1</v>
      </c>
      <c r="F109">
        <v>1</v>
      </c>
      <c r="G109">
        <v>-1</v>
      </c>
      <c r="H109">
        <v>1</v>
      </c>
      <c r="I109">
        <v>1</v>
      </c>
      <c r="J109">
        <v>5000</v>
      </c>
      <c r="K109">
        <v>5000</v>
      </c>
      <c r="L109">
        <v>500</v>
      </c>
      <c r="M109">
        <v>60</v>
      </c>
      <c r="N109">
        <v>6</v>
      </c>
      <c r="O109">
        <v>75</v>
      </c>
      <c r="P109">
        <v>95</v>
      </c>
      <c r="Q109">
        <v>24.784672246260531</v>
      </c>
      <c r="R109">
        <v>6886496.9235268552</v>
      </c>
      <c r="S109">
        <v>82463901.969826281</v>
      </c>
      <c r="T109">
        <v>10997364188.572399</v>
      </c>
      <c r="U109">
        <v>43</v>
      </c>
      <c r="V109">
        <v>14.9</v>
      </c>
      <c r="W109">
        <v>1428.6131180165851</v>
      </c>
      <c r="X109" t="b">
        <v>1</v>
      </c>
    </row>
    <row r="110" spans="1:24" x14ac:dyDescent="0.25">
      <c r="A110">
        <v>109</v>
      </c>
      <c r="B110" t="s">
        <v>132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1</v>
      </c>
      <c r="I110">
        <v>1</v>
      </c>
      <c r="J110">
        <v>500</v>
      </c>
      <c r="K110">
        <v>1500</v>
      </c>
      <c r="L110">
        <v>2000</v>
      </c>
      <c r="M110">
        <v>60</v>
      </c>
      <c r="N110">
        <v>6</v>
      </c>
      <c r="O110">
        <v>75</v>
      </c>
      <c r="P110">
        <v>95</v>
      </c>
      <c r="Q110">
        <v>11.447164529480361</v>
      </c>
      <c r="R110">
        <v>83710548.953889057</v>
      </c>
      <c r="S110">
        <v>652691.87726466241</v>
      </c>
      <c r="T110">
        <v>2510747324.3301711</v>
      </c>
      <c r="U110">
        <v>18</v>
      </c>
      <c r="V110">
        <v>14.3</v>
      </c>
      <c r="W110">
        <v>1962.403612353181</v>
      </c>
      <c r="X110" t="b">
        <v>1</v>
      </c>
    </row>
    <row r="111" spans="1:24" x14ac:dyDescent="0.25">
      <c r="A111">
        <v>110</v>
      </c>
      <c r="B111" t="s">
        <v>133</v>
      </c>
      <c r="C111">
        <v>1</v>
      </c>
      <c r="D111">
        <v>-1</v>
      </c>
      <c r="E111">
        <v>1</v>
      </c>
      <c r="F111">
        <v>1</v>
      </c>
      <c r="G111">
        <v>-1</v>
      </c>
      <c r="H111">
        <v>1</v>
      </c>
      <c r="I111">
        <v>1</v>
      </c>
      <c r="J111">
        <v>5000</v>
      </c>
      <c r="K111">
        <v>1500</v>
      </c>
      <c r="L111">
        <v>2000</v>
      </c>
      <c r="M111">
        <v>60</v>
      </c>
      <c r="N111">
        <v>6</v>
      </c>
      <c r="O111">
        <v>75</v>
      </c>
      <c r="P111">
        <v>95</v>
      </c>
      <c r="Q111">
        <v>11.97773729055632</v>
      </c>
      <c r="R111">
        <v>38200141.314804196</v>
      </c>
      <c r="S111">
        <v>13265272.91853348</v>
      </c>
      <c r="T111">
        <v>7800989154.2585459</v>
      </c>
      <c r="U111">
        <v>21</v>
      </c>
      <c r="V111">
        <v>14.8</v>
      </c>
      <c r="W111">
        <v>1905.6187056221579</v>
      </c>
      <c r="X111" t="b">
        <v>1</v>
      </c>
    </row>
    <row r="112" spans="1:24" x14ac:dyDescent="0.25">
      <c r="A112">
        <v>111</v>
      </c>
      <c r="B112" t="s">
        <v>134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500</v>
      </c>
      <c r="K112">
        <v>5000</v>
      </c>
      <c r="L112">
        <v>2000</v>
      </c>
      <c r="M112">
        <v>60</v>
      </c>
      <c r="N112">
        <v>6</v>
      </c>
      <c r="O112">
        <v>75</v>
      </c>
      <c r="P112">
        <v>95</v>
      </c>
      <c r="Q112">
        <v>17.361069852020751</v>
      </c>
      <c r="R112">
        <v>16653635.482231069</v>
      </c>
      <c r="S112">
        <v>32075646.377911732</v>
      </c>
      <c r="T112">
        <v>10170207391.31777</v>
      </c>
      <c r="U112">
        <v>32</v>
      </c>
      <c r="V112">
        <v>15.1</v>
      </c>
      <c r="W112">
        <v>1685.3017704188869</v>
      </c>
      <c r="X112" t="b">
        <v>1</v>
      </c>
    </row>
    <row r="113" spans="1:24" x14ac:dyDescent="0.25">
      <c r="A113">
        <v>112</v>
      </c>
      <c r="B113" t="s">
        <v>135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1</v>
      </c>
      <c r="J113">
        <v>5000</v>
      </c>
      <c r="K113">
        <v>5000</v>
      </c>
      <c r="L113">
        <v>2000</v>
      </c>
      <c r="M113">
        <v>60</v>
      </c>
      <c r="N113">
        <v>6</v>
      </c>
      <c r="O113">
        <v>75</v>
      </c>
      <c r="P113">
        <v>95</v>
      </c>
      <c r="Q113">
        <v>23.890615731531032</v>
      </c>
      <c r="R113">
        <v>4689961.8639792129</v>
      </c>
      <c r="S113">
        <v>79881213.277023047</v>
      </c>
      <c r="T113">
        <v>11937511149.41106</v>
      </c>
      <c r="U113">
        <v>41</v>
      </c>
      <c r="V113">
        <v>14.7</v>
      </c>
      <c r="W113">
        <v>1447.305028598699</v>
      </c>
      <c r="X113" t="b">
        <v>1</v>
      </c>
    </row>
    <row r="114" spans="1:24" x14ac:dyDescent="0.25">
      <c r="A114">
        <v>113</v>
      </c>
      <c r="B114" t="s">
        <v>136</v>
      </c>
      <c r="C114">
        <v>-1</v>
      </c>
      <c r="D114">
        <v>-1</v>
      </c>
      <c r="E114">
        <v>-1</v>
      </c>
      <c r="F114">
        <v>-1</v>
      </c>
      <c r="G114">
        <v>1</v>
      </c>
      <c r="H114">
        <v>1</v>
      </c>
      <c r="I114">
        <v>1</v>
      </c>
      <c r="J114">
        <v>500</v>
      </c>
      <c r="K114">
        <v>1500</v>
      </c>
      <c r="L114">
        <v>500</v>
      </c>
      <c r="M114">
        <v>30</v>
      </c>
      <c r="N114">
        <v>12</v>
      </c>
      <c r="O114">
        <v>75</v>
      </c>
      <c r="P114">
        <v>95</v>
      </c>
      <c r="Q114">
        <v>9.537998394328838</v>
      </c>
      <c r="R114">
        <v>84187919.90383476</v>
      </c>
      <c r="S114">
        <v>1223578.858555167</v>
      </c>
      <c r="T114">
        <v>1746133632.711318</v>
      </c>
      <c r="U114">
        <v>18</v>
      </c>
      <c r="V114">
        <v>14.4</v>
      </c>
      <c r="W114">
        <v>2121.0349871887202</v>
      </c>
      <c r="X114" t="b">
        <v>1</v>
      </c>
    </row>
    <row r="115" spans="1:24" x14ac:dyDescent="0.25">
      <c r="A115">
        <v>114</v>
      </c>
      <c r="B115" t="s">
        <v>137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1</v>
      </c>
      <c r="I115">
        <v>1</v>
      </c>
      <c r="J115">
        <v>5000</v>
      </c>
      <c r="K115">
        <v>1500</v>
      </c>
      <c r="L115">
        <v>500</v>
      </c>
      <c r="M115">
        <v>30</v>
      </c>
      <c r="N115">
        <v>12</v>
      </c>
      <c r="O115">
        <v>75</v>
      </c>
      <c r="P115">
        <v>95</v>
      </c>
      <c r="Q115">
        <v>9.6963211321993725</v>
      </c>
      <c r="R115">
        <v>44092608.167280793</v>
      </c>
      <c r="S115">
        <v>20681811.558810212</v>
      </c>
      <c r="T115">
        <v>6545535149.0742865</v>
      </c>
      <c r="U115">
        <v>19</v>
      </c>
      <c r="V115">
        <v>14.8</v>
      </c>
      <c r="W115">
        <v>2100.7576504127892</v>
      </c>
      <c r="X115" t="b">
        <v>1</v>
      </c>
    </row>
    <row r="116" spans="1:24" x14ac:dyDescent="0.25">
      <c r="A116">
        <v>115</v>
      </c>
      <c r="B116" t="s">
        <v>138</v>
      </c>
      <c r="C116">
        <v>-1</v>
      </c>
      <c r="D116">
        <v>1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500</v>
      </c>
      <c r="K116">
        <v>5000</v>
      </c>
      <c r="L116">
        <v>500</v>
      </c>
      <c r="M116">
        <v>30</v>
      </c>
      <c r="N116">
        <v>12</v>
      </c>
      <c r="O116">
        <v>75</v>
      </c>
      <c r="P116">
        <v>95</v>
      </c>
      <c r="Q116">
        <v>11.62580019698345</v>
      </c>
      <c r="R116">
        <v>18769515.68728533</v>
      </c>
      <c r="S116">
        <v>35122050.851243757</v>
      </c>
      <c r="T116">
        <v>9421470974.2432613</v>
      </c>
      <c r="U116">
        <v>32</v>
      </c>
      <c r="V116">
        <v>15</v>
      </c>
      <c r="W116">
        <v>1967.611362397801</v>
      </c>
      <c r="X116" t="b">
        <v>1</v>
      </c>
    </row>
    <row r="117" spans="1:24" x14ac:dyDescent="0.25">
      <c r="A117">
        <v>116</v>
      </c>
      <c r="B117" t="s">
        <v>139</v>
      </c>
      <c r="C117">
        <v>1</v>
      </c>
      <c r="D117">
        <v>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5000</v>
      </c>
      <c r="K117">
        <v>5000</v>
      </c>
      <c r="L117">
        <v>500</v>
      </c>
      <c r="M117">
        <v>30</v>
      </c>
      <c r="N117">
        <v>12</v>
      </c>
      <c r="O117">
        <v>75</v>
      </c>
      <c r="P117">
        <v>95</v>
      </c>
      <c r="Q117">
        <v>12.296229908035739</v>
      </c>
      <c r="R117">
        <v>6896462.8053769022</v>
      </c>
      <c r="S117">
        <v>83400549.558658779</v>
      </c>
      <c r="T117">
        <v>11322860529.558491</v>
      </c>
      <c r="U117">
        <v>39</v>
      </c>
      <c r="V117">
        <v>14.9</v>
      </c>
      <c r="W117">
        <v>1894.565925414154</v>
      </c>
      <c r="X117" t="b">
        <v>1</v>
      </c>
    </row>
    <row r="118" spans="1:24" x14ac:dyDescent="0.25">
      <c r="A118">
        <v>117</v>
      </c>
      <c r="B118" t="s">
        <v>140</v>
      </c>
      <c r="C118">
        <v>-1</v>
      </c>
      <c r="D118">
        <v>-1</v>
      </c>
      <c r="E118">
        <v>1</v>
      </c>
      <c r="F118">
        <v>-1</v>
      </c>
      <c r="G118">
        <v>1</v>
      </c>
      <c r="H118">
        <v>1</v>
      </c>
      <c r="I118">
        <v>1</v>
      </c>
      <c r="J118">
        <v>500</v>
      </c>
      <c r="K118">
        <v>1500</v>
      </c>
      <c r="L118">
        <v>2000</v>
      </c>
      <c r="M118">
        <v>30</v>
      </c>
      <c r="N118">
        <v>12</v>
      </c>
      <c r="O118">
        <v>75</v>
      </c>
      <c r="P118">
        <v>95</v>
      </c>
      <c r="Q118">
        <v>9.4897217834702587</v>
      </c>
      <c r="R118">
        <v>83721564.345651433</v>
      </c>
      <c r="S118">
        <v>670190.98713757517</v>
      </c>
      <c r="T118">
        <v>2468242034.8544168</v>
      </c>
      <c r="U118">
        <v>18</v>
      </c>
      <c r="V118">
        <v>14.4</v>
      </c>
      <c r="W118">
        <v>2125.602120241349</v>
      </c>
      <c r="X118" t="b">
        <v>1</v>
      </c>
    </row>
    <row r="119" spans="1:24" x14ac:dyDescent="0.25">
      <c r="A119">
        <v>118</v>
      </c>
      <c r="B119" t="s">
        <v>141</v>
      </c>
      <c r="C119">
        <v>1</v>
      </c>
      <c r="D119">
        <v>-1</v>
      </c>
      <c r="E119">
        <v>1</v>
      </c>
      <c r="F119">
        <v>-1</v>
      </c>
      <c r="G119">
        <v>1</v>
      </c>
      <c r="H119">
        <v>1</v>
      </c>
      <c r="I119">
        <v>1</v>
      </c>
      <c r="J119">
        <v>5000</v>
      </c>
      <c r="K119">
        <v>1500</v>
      </c>
      <c r="L119">
        <v>2000</v>
      </c>
      <c r="M119">
        <v>30</v>
      </c>
      <c r="N119">
        <v>12</v>
      </c>
      <c r="O119">
        <v>75</v>
      </c>
      <c r="P119">
        <v>95</v>
      </c>
      <c r="Q119">
        <v>9.5629042962152795</v>
      </c>
      <c r="R119">
        <v>38209591.860322542</v>
      </c>
      <c r="S119">
        <v>13444582.66199619</v>
      </c>
      <c r="T119">
        <v>7819829940.410553</v>
      </c>
      <c r="U119">
        <v>19</v>
      </c>
      <c r="V119">
        <v>14.8</v>
      </c>
      <c r="W119">
        <v>2111.1372771894912</v>
      </c>
      <c r="X119" t="b">
        <v>1</v>
      </c>
    </row>
    <row r="120" spans="1:24" x14ac:dyDescent="0.25">
      <c r="A120">
        <v>119</v>
      </c>
      <c r="B120" t="s">
        <v>142</v>
      </c>
      <c r="C120">
        <v>-1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500</v>
      </c>
      <c r="K120">
        <v>5000</v>
      </c>
      <c r="L120">
        <v>2000</v>
      </c>
      <c r="M120">
        <v>30</v>
      </c>
      <c r="N120">
        <v>12</v>
      </c>
      <c r="O120">
        <v>75</v>
      </c>
      <c r="P120">
        <v>95</v>
      </c>
      <c r="Q120">
        <v>11.276281282465829</v>
      </c>
      <c r="R120">
        <v>16662038.28859519</v>
      </c>
      <c r="S120">
        <v>32587315.830622669</v>
      </c>
      <c r="T120">
        <v>10318190507.10416</v>
      </c>
      <c r="U120">
        <v>30</v>
      </c>
      <c r="V120">
        <v>15</v>
      </c>
      <c r="W120">
        <v>1980.726617551953</v>
      </c>
      <c r="X120" t="b">
        <v>1</v>
      </c>
    </row>
    <row r="121" spans="1:24" x14ac:dyDescent="0.25">
      <c r="A121">
        <v>120</v>
      </c>
      <c r="B121" t="s">
        <v>143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1</v>
      </c>
      <c r="J121">
        <v>5000</v>
      </c>
      <c r="K121">
        <v>5000</v>
      </c>
      <c r="L121">
        <v>2000</v>
      </c>
      <c r="M121">
        <v>30</v>
      </c>
      <c r="N121">
        <v>12</v>
      </c>
      <c r="O121">
        <v>75</v>
      </c>
      <c r="P121">
        <v>95</v>
      </c>
      <c r="Q121">
        <v>12.15983594692028</v>
      </c>
      <c r="R121">
        <v>4692626.1054952871</v>
      </c>
      <c r="S121">
        <v>80709061.011735529</v>
      </c>
      <c r="T121">
        <v>12227373166.901171</v>
      </c>
      <c r="U121">
        <v>38</v>
      </c>
      <c r="V121">
        <v>14.9</v>
      </c>
      <c r="W121">
        <v>1898.7428141791399</v>
      </c>
      <c r="X121" t="b">
        <v>1</v>
      </c>
    </row>
    <row r="122" spans="1:24" x14ac:dyDescent="0.25">
      <c r="A122">
        <v>121</v>
      </c>
      <c r="B122" t="s">
        <v>144</v>
      </c>
      <c r="C122">
        <v>-1</v>
      </c>
      <c r="D122">
        <v>-1</v>
      </c>
      <c r="E122">
        <v>-1</v>
      </c>
      <c r="F122">
        <v>1</v>
      </c>
      <c r="G122">
        <v>1</v>
      </c>
      <c r="H122">
        <v>1</v>
      </c>
      <c r="I122">
        <v>1</v>
      </c>
      <c r="J122">
        <v>500</v>
      </c>
      <c r="K122">
        <v>1500</v>
      </c>
      <c r="L122">
        <v>500</v>
      </c>
      <c r="M122">
        <v>60</v>
      </c>
      <c r="N122">
        <v>12</v>
      </c>
      <c r="O122">
        <v>75</v>
      </c>
      <c r="P122">
        <v>95</v>
      </c>
      <c r="Q122">
        <v>11.59273601242279</v>
      </c>
      <c r="R122">
        <v>84176697.49337928</v>
      </c>
      <c r="S122">
        <v>1193096.287072341</v>
      </c>
      <c r="T122">
        <v>1788278607.5220001</v>
      </c>
      <c r="U122">
        <v>18</v>
      </c>
      <c r="V122">
        <v>14.3</v>
      </c>
      <c r="W122">
        <v>1956.1646020900489</v>
      </c>
      <c r="X122" t="b">
        <v>1</v>
      </c>
    </row>
    <row r="123" spans="1:24" x14ac:dyDescent="0.25">
      <c r="A123">
        <v>122</v>
      </c>
      <c r="B123" t="s">
        <v>145</v>
      </c>
      <c r="C123">
        <v>1</v>
      </c>
      <c r="D123">
        <v>-1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5000</v>
      </c>
      <c r="K123">
        <v>1500</v>
      </c>
      <c r="L123">
        <v>500</v>
      </c>
      <c r="M123">
        <v>60</v>
      </c>
      <c r="N123">
        <v>12</v>
      </c>
      <c r="O123">
        <v>75</v>
      </c>
      <c r="P123">
        <v>95</v>
      </c>
      <c r="Q123">
        <v>11.70651547181193</v>
      </c>
      <c r="R123">
        <v>44083400.981725462</v>
      </c>
      <c r="S123">
        <v>20544572.553942479</v>
      </c>
      <c r="T123">
        <v>6566053350.7795506</v>
      </c>
      <c r="U123">
        <v>19</v>
      </c>
      <c r="V123">
        <v>14.8</v>
      </c>
      <c r="W123">
        <v>1934.5852084960979</v>
      </c>
      <c r="X123" t="b">
        <v>1</v>
      </c>
    </row>
    <row r="124" spans="1:24" x14ac:dyDescent="0.25">
      <c r="A124">
        <v>123</v>
      </c>
      <c r="B124" t="s">
        <v>146</v>
      </c>
      <c r="C124">
        <v>-1</v>
      </c>
      <c r="D124">
        <v>1</v>
      </c>
      <c r="E124">
        <v>-1</v>
      </c>
      <c r="F124">
        <v>1</v>
      </c>
      <c r="G124">
        <v>1</v>
      </c>
      <c r="H124">
        <v>1</v>
      </c>
      <c r="I124">
        <v>1</v>
      </c>
      <c r="J124">
        <v>500</v>
      </c>
      <c r="K124">
        <v>5000</v>
      </c>
      <c r="L124">
        <v>500</v>
      </c>
      <c r="M124">
        <v>60</v>
      </c>
      <c r="N124">
        <v>12</v>
      </c>
      <c r="O124">
        <v>75</v>
      </c>
      <c r="P124">
        <v>95</v>
      </c>
      <c r="Q124">
        <v>16.616594042706669</v>
      </c>
      <c r="R124">
        <v>18761912.572442461</v>
      </c>
      <c r="S124">
        <v>34641772.856849089</v>
      </c>
      <c r="T124">
        <v>9305189003.3994637</v>
      </c>
      <c r="U124">
        <v>31</v>
      </c>
      <c r="V124">
        <v>14.9</v>
      </c>
      <c r="W124">
        <v>1707.650654400104</v>
      </c>
      <c r="X124" t="b">
        <v>1</v>
      </c>
    </row>
    <row r="125" spans="1:24" x14ac:dyDescent="0.25">
      <c r="A125">
        <v>124</v>
      </c>
      <c r="B125" t="s">
        <v>147</v>
      </c>
      <c r="C125">
        <v>1</v>
      </c>
      <c r="D125">
        <v>1</v>
      </c>
      <c r="E125">
        <v>-1</v>
      </c>
      <c r="F125">
        <v>1</v>
      </c>
      <c r="G125">
        <v>1</v>
      </c>
      <c r="H125">
        <v>1</v>
      </c>
      <c r="I125">
        <v>1</v>
      </c>
      <c r="J125">
        <v>5000</v>
      </c>
      <c r="K125">
        <v>5000</v>
      </c>
      <c r="L125">
        <v>500</v>
      </c>
      <c r="M125">
        <v>60</v>
      </c>
      <c r="N125">
        <v>12</v>
      </c>
      <c r="O125">
        <v>75</v>
      </c>
      <c r="P125">
        <v>95</v>
      </c>
      <c r="Q125">
        <v>22.1404139098602</v>
      </c>
      <c r="R125">
        <v>6888363.6483222321</v>
      </c>
      <c r="S125">
        <v>82717472.013761714</v>
      </c>
      <c r="T125">
        <v>11121976674.787291</v>
      </c>
      <c r="U125">
        <v>37</v>
      </c>
      <c r="V125">
        <v>15</v>
      </c>
      <c r="W125">
        <v>1519.6312385212491</v>
      </c>
      <c r="X125" t="b">
        <v>1</v>
      </c>
    </row>
    <row r="126" spans="1:24" x14ac:dyDescent="0.25">
      <c r="A126">
        <v>125</v>
      </c>
      <c r="B126" t="s">
        <v>148</v>
      </c>
      <c r="C126">
        <v>-1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500</v>
      </c>
      <c r="K126">
        <v>1500</v>
      </c>
      <c r="L126">
        <v>2000</v>
      </c>
      <c r="M126">
        <v>60</v>
      </c>
      <c r="N126">
        <v>12</v>
      </c>
      <c r="O126">
        <v>75</v>
      </c>
      <c r="P126">
        <v>95</v>
      </c>
      <c r="Q126">
        <v>11.424532885216379</v>
      </c>
      <c r="R126">
        <v>83710599.853810489</v>
      </c>
      <c r="S126">
        <v>657020.06175295822</v>
      </c>
      <c r="T126">
        <v>2512249841.0764718</v>
      </c>
      <c r="U126">
        <v>18</v>
      </c>
      <c r="V126">
        <v>14.3</v>
      </c>
      <c r="W126">
        <v>1964.045930445687</v>
      </c>
      <c r="X126" t="b">
        <v>1</v>
      </c>
    </row>
    <row r="127" spans="1:24" x14ac:dyDescent="0.25">
      <c r="A127">
        <v>126</v>
      </c>
      <c r="B127" t="s">
        <v>149</v>
      </c>
      <c r="C127">
        <v>1</v>
      </c>
      <c r="D127">
        <v>-1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5000</v>
      </c>
      <c r="K127">
        <v>1500</v>
      </c>
      <c r="L127">
        <v>2000</v>
      </c>
      <c r="M127">
        <v>60</v>
      </c>
      <c r="N127">
        <v>12</v>
      </c>
      <c r="O127">
        <v>75</v>
      </c>
      <c r="P127">
        <v>95</v>
      </c>
      <c r="Q127">
        <v>11.592597372479959</v>
      </c>
      <c r="R127">
        <v>38203188.888545923</v>
      </c>
      <c r="S127">
        <v>13368424.84614609</v>
      </c>
      <c r="T127">
        <v>7851971849.0925598</v>
      </c>
      <c r="U127">
        <v>19</v>
      </c>
      <c r="V127">
        <v>14.8</v>
      </c>
      <c r="W127">
        <v>1944.5408102381471</v>
      </c>
      <c r="X127" t="b">
        <v>1</v>
      </c>
    </row>
    <row r="128" spans="1:24" x14ac:dyDescent="0.25">
      <c r="A128">
        <v>127</v>
      </c>
      <c r="B128" t="s">
        <v>150</v>
      </c>
      <c r="C128">
        <v>-1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500</v>
      </c>
      <c r="K128">
        <v>5000</v>
      </c>
      <c r="L128">
        <v>2000</v>
      </c>
      <c r="M128">
        <v>60</v>
      </c>
      <c r="N128">
        <v>12</v>
      </c>
      <c r="O128">
        <v>75</v>
      </c>
      <c r="P128">
        <v>95</v>
      </c>
      <c r="Q128">
        <v>15.47315458940132</v>
      </c>
      <c r="R128">
        <v>16653545.78566446</v>
      </c>
      <c r="S128">
        <v>32172081.435855061</v>
      </c>
      <c r="T128">
        <v>10218348751.18137</v>
      </c>
      <c r="U128">
        <v>29</v>
      </c>
      <c r="V128">
        <v>15.1</v>
      </c>
      <c r="W128">
        <v>1740.61392778654</v>
      </c>
      <c r="X128" t="b">
        <v>1</v>
      </c>
    </row>
    <row r="129" spans="1:24" x14ac:dyDescent="0.25">
      <c r="A129">
        <v>128</v>
      </c>
      <c r="B129" t="s">
        <v>151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5000</v>
      </c>
      <c r="K129">
        <v>5000</v>
      </c>
      <c r="L129">
        <v>2000</v>
      </c>
      <c r="M129">
        <v>60</v>
      </c>
      <c r="N129">
        <v>12</v>
      </c>
      <c r="O129">
        <v>75</v>
      </c>
      <c r="P129">
        <v>95</v>
      </c>
      <c r="Q129">
        <v>21.676846205021121</v>
      </c>
      <c r="R129">
        <v>4689442.3446975872</v>
      </c>
      <c r="S129">
        <v>80077448.725536883</v>
      </c>
      <c r="T129">
        <v>12028876633.184759</v>
      </c>
      <c r="U129">
        <v>36</v>
      </c>
      <c r="V129">
        <v>14.8</v>
      </c>
      <c r="W129">
        <v>1520.9895343144931</v>
      </c>
      <c r="X12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H13" sqref="H13"/>
    </sheetView>
  </sheetViews>
  <sheetFormatPr baseColWidth="10" defaultColWidth="9.140625" defaultRowHeight="15" x14ac:dyDescent="0.25"/>
  <cols>
    <col min="3" max="3" width="9.28515625" bestFit="1" customWidth="1"/>
    <col min="4" max="4" width="11.28515625" bestFit="1" customWidth="1"/>
    <col min="5" max="5" width="10.5703125" bestFit="1" customWidth="1"/>
    <col min="6" max="6" width="12.5703125" bestFit="1" customWidth="1"/>
    <col min="7" max="9" width="9.28515625" bestFit="1" customWidth="1"/>
  </cols>
  <sheetData>
    <row r="1" spans="1:9" x14ac:dyDescent="0.25"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</row>
    <row r="2" spans="1:9" x14ac:dyDescent="0.25">
      <c r="A2" s="1" t="s">
        <v>159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x14ac:dyDescent="0.25">
      <c r="A3" s="1" t="s">
        <v>16</v>
      </c>
      <c r="B3">
        <v>1.796391064276905</v>
      </c>
      <c r="C3">
        <v>4.5735348664200544</v>
      </c>
      <c r="D3">
        <v>-0.47630157719056682</v>
      </c>
      <c r="E3">
        <v>4.1647078022879196</v>
      </c>
      <c r="F3">
        <v>-1.031347801626415</v>
      </c>
      <c r="G3">
        <v>0.4079094058865369</v>
      </c>
      <c r="H3">
        <v>1.5841807006039319</v>
      </c>
    </row>
    <row r="4" spans="1:9" x14ac:dyDescent="0.25">
      <c r="A4" s="1" t="s">
        <v>17</v>
      </c>
      <c r="B4">
        <v>-27356961.24591288</v>
      </c>
      <c r="C4">
        <v>-50798438.227459401</v>
      </c>
      <c r="D4">
        <v>-2659516.5590352421</v>
      </c>
      <c r="E4">
        <v>-14449.72956620902</v>
      </c>
      <c r="F4">
        <v>1967.6032446920869</v>
      </c>
      <c r="G4">
        <v>-4909.0313135161996</v>
      </c>
      <c r="H4">
        <v>67257.514966785908</v>
      </c>
    </row>
    <row r="5" spans="1:9" x14ac:dyDescent="0.25">
      <c r="A5" s="1" t="s">
        <v>18</v>
      </c>
      <c r="B5">
        <v>32050454.357415538</v>
      </c>
      <c r="C5">
        <v>48709095.87294811</v>
      </c>
      <c r="D5">
        <v>-3190071.2845792919</v>
      </c>
      <c r="E5">
        <v>-333560.08472792432</v>
      </c>
      <c r="F5">
        <v>101774.5543255284</v>
      </c>
      <c r="G5">
        <v>-137411.47475895291</v>
      </c>
      <c r="H5">
        <v>101333.35399467871</v>
      </c>
    </row>
    <row r="6" spans="1:9" x14ac:dyDescent="0.25">
      <c r="A6" s="1" t="s">
        <v>19</v>
      </c>
      <c r="B6">
        <v>3406895384.1916871</v>
      </c>
      <c r="C6">
        <v>6018447221.0325699</v>
      </c>
      <c r="D6">
        <v>958703738.02395344</v>
      </c>
      <c r="E6">
        <v>-86253690.48068428</v>
      </c>
      <c r="F6">
        <v>55841171.165547371</v>
      </c>
      <c r="G6">
        <v>-28940481.2680397</v>
      </c>
      <c r="H6">
        <v>-379352119.91967958</v>
      </c>
    </row>
    <row r="7" spans="1:9" x14ac:dyDescent="0.25">
      <c r="A7" s="1" t="s">
        <v>20</v>
      </c>
      <c r="B7">
        <v>4.9375</v>
      </c>
      <c r="C7">
        <v>15.53125</v>
      </c>
      <c r="D7">
        <v>-2.09375</v>
      </c>
      <c r="E7">
        <v>-0.75</v>
      </c>
      <c r="F7">
        <v>-3.3125</v>
      </c>
      <c r="G7">
        <v>4.125</v>
      </c>
      <c r="H7">
        <v>-2.9375</v>
      </c>
    </row>
    <row r="8" spans="1:9" x14ac:dyDescent="0.25">
      <c r="A8" s="1" t="s">
        <v>21</v>
      </c>
      <c r="B8">
        <v>0.31406249999999858</v>
      </c>
      <c r="C8">
        <v>1.6078124999999981</v>
      </c>
      <c r="D8">
        <v>-1.0937500000000711E-2</v>
      </c>
      <c r="E8">
        <v>0.1078124999999979</v>
      </c>
      <c r="F8">
        <v>-2.9687499999997868E-2</v>
      </c>
      <c r="G8">
        <v>4.2187500000000711E-2</v>
      </c>
      <c r="H8">
        <v>8.9062500000000711E-2</v>
      </c>
    </row>
    <row r="9" spans="1:9" x14ac:dyDescent="0.25">
      <c r="A9" s="1" t="s">
        <v>22</v>
      </c>
      <c r="B9">
        <v>-168.4279287673057</v>
      </c>
      <c r="C9">
        <v>-361.86022746422168</v>
      </c>
      <c r="D9">
        <v>-3.377017884076849</v>
      </c>
      <c r="E9">
        <v>-247.90221642178679</v>
      </c>
      <c r="F9">
        <v>47.193691974740887</v>
      </c>
      <c r="G9">
        <v>-53.818165425746876</v>
      </c>
      <c r="H9">
        <v>-660.93139131621228</v>
      </c>
    </row>
    <row r="13" spans="1:9" x14ac:dyDescent="0.25">
      <c r="B13" s="1" t="s">
        <v>159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1" t="s">
        <v>22</v>
      </c>
    </row>
    <row r="14" spans="1:9" x14ac:dyDescent="0.25">
      <c r="A14" t="s">
        <v>152</v>
      </c>
      <c r="B14" s="1" t="s">
        <v>2</v>
      </c>
      <c r="C14" s="3">
        <v>1.796391064276905</v>
      </c>
      <c r="D14" s="3">
        <v>-27356961.24591288</v>
      </c>
      <c r="E14" s="3">
        <v>32050454.357415538</v>
      </c>
      <c r="F14" s="3">
        <v>3406895384.1916871</v>
      </c>
      <c r="G14" s="3">
        <v>4.9375</v>
      </c>
      <c r="H14" s="3">
        <v>0.31406249999999858</v>
      </c>
      <c r="I14" s="3">
        <v>-168.4279287673057</v>
      </c>
    </row>
    <row r="15" spans="1:9" x14ac:dyDescent="0.25">
      <c r="A15" t="s">
        <v>153</v>
      </c>
      <c r="B15" s="1" t="s">
        <v>3</v>
      </c>
      <c r="C15" s="3">
        <v>4.5735348664200544</v>
      </c>
      <c r="D15" s="3">
        <v>-50798438.227459401</v>
      </c>
      <c r="E15" s="3">
        <v>48709095.87294811</v>
      </c>
      <c r="F15" s="3">
        <v>6018447221.0325699</v>
      </c>
      <c r="G15" s="3">
        <v>15.53125</v>
      </c>
      <c r="H15" s="3">
        <v>1.6078124999999981</v>
      </c>
      <c r="I15" s="3">
        <v>-361.86022746422168</v>
      </c>
    </row>
    <row r="16" spans="1:9" x14ac:dyDescent="0.25">
      <c r="A16" t="s">
        <v>154</v>
      </c>
      <c r="B16" s="1" t="s">
        <v>4</v>
      </c>
      <c r="C16" s="3">
        <v>-0.47630157719056682</v>
      </c>
      <c r="D16" s="3">
        <v>-2659516.5590352421</v>
      </c>
      <c r="E16" s="3">
        <v>-3190071.2845792919</v>
      </c>
      <c r="F16" s="3">
        <v>958703738.02395344</v>
      </c>
      <c r="G16" s="3">
        <v>-2.09375</v>
      </c>
      <c r="H16" s="3">
        <v>-1.0937500000000711E-2</v>
      </c>
      <c r="I16" s="3">
        <v>-3.377017884076849</v>
      </c>
    </row>
    <row r="17" spans="1:9" x14ac:dyDescent="0.25">
      <c r="A17" t="s">
        <v>155</v>
      </c>
      <c r="B17" s="1" t="s">
        <v>5</v>
      </c>
      <c r="C17" s="3">
        <v>4.1647078022879196</v>
      </c>
      <c r="D17" s="3">
        <v>-14449.72956620902</v>
      </c>
      <c r="E17" s="3">
        <v>-333560.08472792432</v>
      </c>
      <c r="F17" s="3">
        <v>-86253690.48068428</v>
      </c>
      <c r="G17" s="3">
        <v>-0.75</v>
      </c>
      <c r="H17" s="3">
        <v>0.1078124999999979</v>
      </c>
      <c r="I17" s="3">
        <v>-247.90221642178679</v>
      </c>
    </row>
    <row r="18" spans="1:9" x14ac:dyDescent="0.25">
      <c r="A18" t="s">
        <v>156</v>
      </c>
      <c r="B18" s="1" t="s">
        <v>6</v>
      </c>
      <c r="C18" s="3">
        <v>-1.031347801626415</v>
      </c>
      <c r="D18" s="3">
        <v>1967.6032446920869</v>
      </c>
      <c r="E18" s="3">
        <v>101774.5543255284</v>
      </c>
      <c r="F18" s="3">
        <v>55841171.165547371</v>
      </c>
      <c r="G18" s="3">
        <v>-3.3125</v>
      </c>
      <c r="H18" s="3">
        <v>-2.9687499999997868E-2</v>
      </c>
      <c r="I18" s="3">
        <v>47.193691974740887</v>
      </c>
    </row>
    <row r="19" spans="1:9" x14ac:dyDescent="0.25">
      <c r="A19" t="s">
        <v>157</v>
      </c>
      <c r="B19" s="1" t="s">
        <v>7</v>
      </c>
      <c r="C19" s="3">
        <v>0.4079094058865369</v>
      </c>
      <c r="D19" s="3">
        <v>-4909.0313135161996</v>
      </c>
      <c r="E19" s="3">
        <v>-137411.47475895291</v>
      </c>
      <c r="F19" s="3">
        <v>-28940481.2680397</v>
      </c>
      <c r="G19" s="3">
        <v>4.125</v>
      </c>
      <c r="H19" s="3">
        <v>4.2187500000000711E-2</v>
      </c>
      <c r="I19" s="3">
        <v>-53.818165425746876</v>
      </c>
    </row>
    <row r="20" spans="1:9" x14ac:dyDescent="0.25">
      <c r="A20" t="s">
        <v>158</v>
      </c>
      <c r="B20" s="1" t="s">
        <v>8</v>
      </c>
      <c r="C20" s="3">
        <v>1.5841807006039319</v>
      </c>
      <c r="D20" s="3">
        <v>67257.514966785908</v>
      </c>
      <c r="E20" s="3">
        <v>101333.35399467871</v>
      </c>
      <c r="F20" s="3">
        <v>-379352119.91967958</v>
      </c>
      <c r="G20" s="3">
        <v>-2.9375</v>
      </c>
      <c r="H20" s="3">
        <v>8.9062500000000711E-2</v>
      </c>
      <c r="I20" s="3">
        <v>-660.93139131621228</v>
      </c>
    </row>
    <row r="24" spans="1:9" x14ac:dyDescent="0.25">
      <c r="B24" s="1" t="s">
        <v>159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20</v>
      </c>
    </row>
    <row r="25" spans="1:9" x14ac:dyDescent="0.25">
      <c r="A25" t="s">
        <v>152</v>
      </c>
      <c r="B25" s="1" t="s">
        <v>2</v>
      </c>
      <c r="C25" s="3">
        <v>1.796391064276905</v>
      </c>
      <c r="D25" s="3">
        <v>-27356961.24591288</v>
      </c>
      <c r="E25" s="3">
        <v>32050454.357415538</v>
      </c>
      <c r="F25" s="3">
        <v>3406895384.1916871</v>
      </c>
      <c r="G25" s="3">
        <v>4.9375</v>
      </c>
    </row>
    <row r="26" spans="1:9" x14ac:dyDescent="0.25">
      <c r="A26" t="s">
        <v>153</v>
      </c>
      <c r="B26" s="1" t="s">
        <v>3</v>
      </c>
      <c r="C26" s="3">
        <v>4.5735348664200544</v>
      </c>
      <c r="D26" s="3">
        <v>-50798438.227459401</v>
      </c>
      <c r="E26" s="3">
        <v>48709095.87294811</v>
      </c>
      <c r="F26" s="3">
        <v>6018447221.0325699</v>
      </c>
      <c r="G26" s="3">
        <v>15.53125</v>
      </c>
    </row>
    <row r="27" spans="1:9" x14ac:dyDescent="0.25">
      <c r="A27" t="s">
        <v>154</v>
      </c>
      <c r="B27" s="1" t="s">
        <v>4</v>
      </c>
      <c r="C27" s="3">
        <v>-0.47630157719056682</v>
      </c>
      <c r="D27" s="3">
        <v>-2659516.5590352421</v>
      </c>
      <c r="E27" s="3">
        <v>-3190071.2845792919</v>
      </c>
      <c r="F27" s="3">
        <v>958703738.02395344</v>
      </c>
      <c r="G27" s="3">
        <v>-2.09375</v>
      </c>
    </row>
    <row r="28" spans="1:9" x14ac:dyDescent="0.25">
      <c r="A28" t="s">
        <v>155</v>
      </c>
      <c r="B28" s="1" t="s">
        <v>5</v>
      </c>
      <c r="C28" s="3">
        <v>4.1647078022879196</v>
      </c>
      <c r="D28" s="3">
        <v>-14449.72956620902</v>
      </c>
      <c r="E28" s="3">
        <v>-333560.08472792432</v>
      </c>
      <c r="F28" s="3">
        <v>-86253690.48068428</v>
      </c>
      <c r="G28" s="3">
        <v>-0.75</v>
      </c>
    </row>
    <row r="29" spans="1:9" x14ac:dyDescent="0.25">
      <c r="A29" t="s">
        <v>156</v>
      </c>
      <c r="B29" s="1" t="s">
        <v>6</v>
      </c>
      <c r="C29" s="3">
        <v>-1.031347801626415</v>
      </c>
      <c r="D29" s="3">
        <v>1967.6032446920869</v>
      </c>
      <c r="E29" s="3">
        <v>101774.5543255284</v>
      </c>
      <c r="F29" s="3">
        <v>55841171.165547371</v>
      </c>
      <c r="G29" s="3">
        <v>-3.3125</v>
      </c>
    </row>
    <row r="30" spans="1:9" x14ac:dyDescent="0.25">
      <c r="A30" t="s">
        <v>157</v>
      </c>
      <c r="B30" s="1" t="s">
        <v>7</v>
      </c>
      <c r="C30" s="3">
        <v>0.4079094058865369</v>
      </c>
      <c r="D30" s="3">
        <v>-4909.0313135161996</v>
      </c>
      <c r="E30" s="3">
        <v>-137411.47475895291</v>
      </c>
      <c r="F30" s="3">
        <v>-28940481.2680397</v>
      </c>
      <c r="G30" s="3">
        <v>4.125</v>
      </c>
    </row>
    <row r="31" spans="1:9" x14ac:dyDescent="0.25">
      <c r="A31" t="s">
        <v>158</v>
      </c>
      <c r="B31" s="1" t="s">
        <v>8</v>
      </c>
      <c r="C31" s="3">
        <v>1.5841807006039319</v>
      </c>
      <c r="D31" s="3">
        <v>67257.514966785908</v>
      </c>
      <c r="E31" s="3">
        <v>101333.35399467871</v>
      </c>
      <c r="F31" s="3">
        <v>-379352119.91967958</v>
      </c>
      <c r="G31" s="3">
        <v>-2.9375</v>
      </c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"/>
  <sheetViews>
    <sheetView tabSelected="1" workbookViewId="0">
      <selection activeCell="K29" sqref="K29"/>
    </sheetView>
  </sheetViews>
  <sheetFormatPr baseColWidth="10" defaultColWidth="9.140625" defaultRowHeight="15" x14ac:dyDescent="0.25"/>
  <sheetData>
    <row r="1" spans="1:22" x14ac:dyDescent="0.25"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</row>
    <row r="2" spans="1:22" x14ac:dyDescent="0.25">
      <c r="A2" s="1" t="s">
        <v>159</v>
      </c>
      <c r="B2" s="1" t="s">
        <v>181</v>
      </c>
      <c r="C2" s="1" t="s">
        <v>182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188</v>
      </c>
      <c r="J2" s="1" t="s">
        <v>189</v>
      </c>
      <c r="K2" s="1" t="s">
        <v>190</v>
      </c>
      <c r="L2" s="1" t="s">
        <v>191</v>
      </c>
      <c r="M2" s="1" t="s">
        <v>192</v>
      </c>
      <c r="N2" s="1" t="s">
        <v>193</v>
      </c>
      <c r="O2" s="1" t="s">
        <v>194</v>
      </c>
      <c r="P2" s="1" t="s">
        <v>195</v>
      </c>
      <c r="Q2" s="1" t="s">
        <v>196</v>
      </c>
      <c r="R2" s="1" t="s">
        <v>197</v>
      </c>
      <c r="S2" s="1" t="s">
        <v>198</v>
      </c>
      <c r="T2" s="1" t="s">
        <v>199</v>
      </c>
      <c r="U2" s="1" t="s">
        <v>200</v>
      </c>
      <c r="V2" s="1" t="s">
        <v>201</v>
      </c>
    </row>
    <row r="3" spans="1:22" x14ac:dyDescent="0.25">
      <c r="A3" s="1" t="s">
        <v>16</v>
      </c>
      <c r="B3">
        <v>1.20666453423997</v>
      </c>
      <c r="C3">
        <v>-7.5861072726501888E-3</v>
      </c>
      <c r="D3">
        <v>1.0045984902807681</v>
      </c>
      <c r="E3">
        <v>-0.49437319240453181</v>
      </c>
      <c r="F3">
        <v>0.17660966130478961</v>
      </c>
      <c r="G3">
        <v>1.5957019370574699E-2</v>
      </c>
      <c r="H3">
        <v>-0.13690862249549429</v>
      </c>
      <c r="I3">
        <v>1.9729123450625701</v>
      </c>
      <c r="J3">
        <v>-0.63931947379710685</v>
      </c>
      <c r="K3">
        <v>0.35279597937329132</v>
      </c>
      <c r="L3">
        <v>0.34007046524557533</v>
      </c>
      <c r="M3">
        <v>-0.19932795568383099</v>
      </c>
      <c r="N3">
        <v>0.26019302374404418</v>
      </c>
      <c r="O3">
        <v>4.747963914913278E-3</v>
      </c>
      <c r="P3">
        <v>-8.4361427998511651E-2</v>
      </c>
      <c r="Q3">
        <v>-0.49965709693003818</v>
      </c>
      <c r="R3">
        <v>0.32317290298421408</v>
      </c>
      <c r="S3">
        <v>0.44346147972172562</v>
      </c>
      <c r="T3">
        <v>1.1885932440833359E-2</v>
      </c>
      <c r="U3">
        <v>6.7420746410551402E-3</v>
      </c>
      <c r="V3">
        <v>0.14089893445656809</v>
      </c>
    </row>
    <row r="4" spans="1:22" x14ac:dyDescent="0.25">
      <c r="A4" s="1" t="s">
        <v>17</v>
      </c>
      <c r="B4">
        <v>15445049.15447649</v>
      </c>
      <c r="C4">
        <v>-1373702.5742938069</v>
      </c>
      <c r="D4">
        <v>2339.725382193923</v>
      </c>
      <c r="E4">
        <v>911.51333233714104</v>
      </c>
      <c r="F4">
        <v>655.58730051293969</v>
      </c>
      <c r="G4">
        <v>-4398.5576616749167</v>
      </c>
      <c r="H4">
        <v>512868.29553195089</v>
      </c>
      <c r="I4">
        <v>-278.37562137469649</v>
      </c>
      <c r="J4">
        <v>-220.62208861112589</v>
      </c>
      <c r="K4">
        <v>-2811.2354753166442</v>
      </c>
      <c r="L4">
        <v>2809.0479561276729</v>
      </c>
      <c r="M4">
        <v>2101.6476887017488</v>
      </c>
      <c r="N4">
        <v>-820.87077441439033</v>
      </c>
      <c r="O4">
        <v>1342.056092068553</v>
      </c>
      <c r="P4">
        <v>-4559.3250950463116</v>
      </c>
      <c r="Q4">
        <v>511.76006894931197</v>
      </c>
      <c r="R4">
        <v>-1526.582555357367</v>
      </c>
      <c r="S4">
        <v>7307.0389721803367</v>
      </c>
      <c r="T4">
        <v>759.9512224085629</v>
      </c>
      <c r="U4">
        <v>-1135.4607077725229</v>
      </c>
      <c r="V4">
        <v>3480.4095987081532</v>
      </c>
    </row>
    <row r="5" spans="1:22" x14ac:dyDescent="0.25">
      <c r="A5" s="1" t="s">
        <v>18</v>
      </c>
      <c r="B5">
        <v>16050391.990455789</v>
      </c>
      <c r="C5">
        <v>-1681064.822670216</v>
      </c>
      <c r="D5">
        <v>-83446.008690074086</v>
      </c>
      <c r="E5">
        <v>51609.148191185668</v>
      </c>
      <c r="F5">
        <v>-26575.758400306109</v>
      </c>
      <c r="G5">
        <v>7615.1704779267311</v>
      </c>
      <c r="H5">
        <v>646285.29512463696</v>
      </c>
      <c r="I5">
        <v>-242074.0783462906</v>
      </c>
      <c r="J5">
        <v>24614.041972240429</v>
      </c>
      <c r="K5">
        <v>-96911.274533772841</v>
      </c>
      <c r="L5">
        <v>60744.118188099943</v>
      </c>
      <c r="M5">
        <v>35624.795913569629</v>
      </c>
      <c r="N5">
        <v>-28628.937786519531</v>
      </c>
      <c r="O5">
        <v>14133.59314236417</v>
      </c>
      <c r="P5">
        <v>-22267.715978112072</v>
      </c>
      <c r="Q5">
        <v>30245.9061062783</v>
      </c>
      <c r="R5">
        <v>-41363.079478967928</v>
      </c>
      <c r="S5">
        <v>32960.086519610137</v>
      </c>
      <c r="T5">
        <v>18606.260549364612</v>
      </c>
      <c r="U5">
        <v>-14277.01259797998</v>
      </c>
      <c r="V5">
        <v>20276.024346077811</v>
      </c>
    </row>
    <row r="6" spans="1:22" x14ac:dyDescent="0.25">
      <c r="A6" s="1" t="s">
        <v>19</v>
      </c>
      <c r="B6">
        <v>-1608947196.893827</v>
      </c>
      <c r="C6">
        <v>134123001.2543869</v>
      </c>
      <c r="D6">
        <v>-39591343.207941063</v>
      </c>
      <c r="E6">
        <v>26373876.578564171</v>
      </c>
      <c r="F6">
        <v>-12128409.955715179</v>
      </c>
      <c r="G6">
        <v>39726390.15745306</v>
      </c>
      <c r="H6">
        <v>-56295878.244190693</v>
      </c>
      <c r="I6">
        <v>-90420739.35443449</v>
      </c>
      <c r="J6">
        <v>14792650.242068291</v>
      </c>
      <c r="K6">
        <v>-17410328.201658729</v>
      </c>
      <c r="L6">
        <v>71814329.620567799</v>
      </c>
      <c r="M6">
        <v>9744197.0426244736</v>
      </c>
      <c r="N6">
        <v>-15399037.68189192</v>
      </c>
      <c r="O6">
        <v>572199.65081357956</v>
      </c>
      <c r="P6">
        <v>7336321.5000739098</v>
      </c>
      <c r="Q6">
        <v>15912409.43229294</v>
      </c>
      <c r="R6">
        <v>-8463368.4076004028</v>
      </c>
      <c r="S6">
        <v>23396472.325238232</v>
      </c>
      <c r="T6">
        <v>3956299.3059649472</v>
      </c>
      <c r="U6">
        <v>-6601589.8420829773</v>
      </c>
      <c r="V6">
        <v>-1013531.8264336589</v>
      </c>
    </row>
    <row r="7" spans="1:22" x14ac:dyDescent="0.25">
      <c r="A7" s="1" t="s">
        <v>20</v>
      </c>
      <c r="B7">
        <v>1.6875</v>
      </c>
      <c r="C7">
        <v>-0.5625</v>
      </c>
      <c r="D7">
        <v>-0.21875</v>
      </c>
      <c r="E7">
        <v>-1.53125</v>
      </c>
      <c r="F7">
        <v>0.90625</v>
      </c>
      <c r="G7">
        <v>-0.34375</v>
      </c>
      <c r="H7">
        <v>-0.40625</v>
      </c>
      <c r="I7">
        <v>-0.6875</v>
      </c>
      <c r="J7">
        <v>-0.8125</v>
      </c>
      <c r="K7">
        <v>2.9375</v>
      </c>
      <c r="L7">
        <v>-1.8125</v>
      </c>
      <c r="M7">
        <v>0</v>
      </c>
      <c r="N7">
        <v>1</v>
      </c>
      <c r="O7">
        <v>-0.5</v>
      </c>
      <c r="P7">
        <v>0.625</v>
      </c>
      <c r="Q7">
        <v>3.125E-2</v>
      </c>
      <c r="R7">
        <v>-0.21875</v>
      </c>
      <c r="S7">
        <v>9.375E-2</v>
      </c>
      <c r="T7">
        <v>-0.59375</v>
      </c>
      <c r="U7">
        <v>0.40625</v>
      </c>
      <c r="V7">
        <v>-0.59375</v>
      </c>
    </row>
    <row r="8" spans="1:22" x14ac:dyDescent="0.25">
      <c r="A8" s="1" t="s">
        <v>21</v>
      </c>
      <c r="B8">
        <v>-0.67343750000000036</v>
      </c>
      <c r="C8">
        <v>-2.3437500000000892E-2</v>
      </c>
      <c r="D8">
        <v>7.8125E-3</v>
      </c>
      <c r="E8">
        <v>3.2812500000000362E-2</v>
      </c>
      <c r="F8">
        <v>-2.6562500000000711E-2</v>
      </c>
      <c r="G8">
        <v>-0.14843750000000089</v>
      </c>
      <c r="H8">
        <v>-0.26718750000000119</v>
      </c>
      <c r="I8">
        <v>0.23906249999999929</v>
      </c>
      <c r="J8">
        <v>-4.8437500000001243E-2</v>
      </c>
      <c r="K8">
        <v>3.5937500000001073E-2</v>
      </c>
      <c r="L8">
        <v>-1.154687500000001</v>
      </c>
      <c r="M8">
        <v>-2.3437499999999108E-2</v>
      </c>
      <c r="N8">
        <v>1.5624999999994671E-3</v>
      </c>
      <c r="O8">
        <v>-1.562500000001243E-3</v>
      </c>
      <c r="P8">
        <v>1.406249999999964E-2</v>
      </c>
      <c r="Q8">
        <v>-1.718750000000124E-2</v>
      </c>
      <c r="R8">
        <v>-1.5624999999994671E-3</v>
      </c>
      <c r="S8">
        <v>-0.16718749999999891</v>
      </c>
      <c r="T8">
        <v>4.6874999999992886E-3</v>
      </c>
      <c r="U8">
        <v>2.6562499999998931E-2</v>
      </c>
      <c r="V8">
        <v>-0.1078124999999996</v>
      </c>
    </row>
    <row r="9" spans="1:22" x14ac:dyDescent="0.25">
      <c r="A9" s="1" t="s">
        <v>22</v>
      </c>
      <c r="B9">
        <v>-83.012394937313729</v>
      </c>
      <c r="C9">
        <v>-20.024342936754461</v>
      </c>
      <c r="D9">
        <v>-32.818568653173088</v>
      </c>
      <c r="E9">
        <v>22.89547068367278</v>
      </c>
      <c r="F9">
        <v>-18.498790501171239</v>
      </c>
      <c r="G9">
        <v>86.238465215124734</v>
      </c>
      <c r="H9">
        <v>-15.156485396093331</v>
      </c>
      <c r="I9">
        <v>-63.794182581680843</v>
      </c>
      <c r="J9">
        <v>13.157348089037439</v>
      </c>
      <c r="K9">
        <v>-37.641635185089399</v>
      </c>
      <c r="L9">
        <v>135.2595176683935</v>
      </c>
      <c r="M9">
        <v>6.5663333436414177</v>
      </c>
      <c r="N9">
        <v>-11.967092497749039</v>
      </c>
      <c r="O9">
        <v>2.446929780658138</v>
      </c>
      <c r="P9">
        <v>21.052846947261742</v>
      </c>
      <c r="Q9">
        <v>13.598556066769561</v>
      </c>
      <c r="R9">
        <v>-16.942006940649659</v>
      </c>
      <c r="S9">
        <v>15.739359134093551</v>
      </c>
      <c r="T9">
        <v>5.3456840626806752</v>
      </c>
      <c r="U9">
        <v>-9.5722437506203732</v>
      </c>
      <c r="V9">
        <v>5.787955911247991</v>
      </c>
    </row>
    <row r="16" spans="1:22" x14ac:dyDescent="0.25">
      <c r="B16" s="1" t="s">
        <v>159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22</v>
      </c>
    </row>
    <row r="17" spans="1:9" x14ac:dyDescent="0.25">
      <c r="A17" t="s">
        <v>160</v>
      </c>
      <c r="B17" s="1" t="s">
        <v>181</v>
      </c>
      <c r="C17" s="3">
        <v>1.20666453423997</v>
      </c>
      <c r="D17" s="3">
        <v>15445049.15447649</v>
      </c>
      <c r="E17" s="3">
        <v>16050391.990455789</v>
      </c>
      <c r="F17" s="3">
        <v>-1608947196.893827</v>
      </c>
      <c r="G17" s="3">
        <v>1.6875</v>
      </c>
      <c r="H17" s="3">
        <v>-0.67343750000000036</v>
      </c>
      <c r="I17" s="3">
        <v>-83.012394937313729</v>
      </c>
    </row>
    <row r="18" spans="1:9" x14ac:dyDescent="0.25">
      <c r="A18" t="s">
        <v>161</v>
      </c>
      <c r="B18" s="1" t="s">
        <v>182</v>
      </c>
      <c r="C18" s="3">
        <v>-7.5861072726501888E-3</v>
      </c>
      <c r="D18" s="3">
        <v>-1373702.5742938069</v>
      </c>
      <c r="E18" s="3">
        <v>-1681064.822670216</v>
      </c>
      <c r="F18" s="3">
        <v>134123001.2543869</v>
      </c>
      <c r="G18" s="3">
        <v>-0.5625</v>
      </c>
      <c r="H18" s="3">
        <v>-2.3437500000000892E-2</v>
      </c>
      <c r="I18" s="3">
        <v>-20.024342936754461</v>
      </c>
    </row>
    <row r="19" spans="1:9" x14ac:dyDescent="0.25">
      <c r="A19" t="s">
        <v>162</v>
      </c>
      <c r="B19" s="1" t="s">
        <v>183</v>
      </c>
      <c r="C19" s="3">
        <v>1.0045984902807681</v>
      </c>
      <c r="D19" s="3">
        <v>2339.725382193923</v>
      </c>
      <c r="E19" s="3">
        <v>-83446.008690074086</v>
      </c>
      <c r="F19" s="3">
        <v>-39591343.207941063</v>
      </c>
      <c r="G19" s="3">
        <v>-0.21875</v>
      </c>
      <c r="H19" s="3">
        <v>7.8125E-3</v>
      </c>
      <c r="I19" s="3">
        <v>-32.818568653173088</v>
      </c>
    </row>
    <row r="20" spans="1:9" x14ac:dyDescent="0.25">
      <c r="A20" t="s">
        <v>163</v>
      </c>
      <c r="B20" s="1" t="s">
        <v>184</v>
      </c>
      <c r="C20" s="3">
        <v>-0.49437319240453181</v>
      </c>
      <c r="D20" s="3">
        <v>911.51333233714104</v>
      </c>
      <c r="E20" s="3">
        <v>51609.148191185668</v>
      </c>
      <c r="F20" s="3">
        <v>26373876.578564171</v>
      </c>
      <c r="G20" s="3">
        <v>-1.53125</v>
      </c>
      <c r="H20" s="3">
        <v>3.2812500000000362E-2</v>
      </c>
      <c r="I20" s="3">
        <v>22.89547068367278</v>
      </c>
    </row>
    <row r="21" spans="1:9" x14ac:dyDescent="0.25">
      <c r="A21" t="s">
        <v>164</v>
      </c>
      <c r="B21" s="1" t="s">
        <v>185</v>
      </c>
      <c r="C21" s="3">
        <v>0.17660966130478961</v>
      </c>
      <c r="D21" s="3">
        <v>655.58730051293969</v>
      </c>
      <c r="E21" s="3">
        <v>-26575.758400306109</v>
      </c>
      <c r="F21" s="3">
        <v>-12128409.955715179</v>
      </c>
      <c r="G21" s="3">
        <v>0.90625</v>
      </c>
      <c r="H21" s="3">
        <v>-2.6562500000000711E-2</v>
      </c>
      <c r="I21" s="3">
        <v>-18.498790501171239</v>
      </c>
    </row>
    <row r="22" spans="1:9" x14ac:dyDescent="0.25">
      <c r="A22" t="s">
        <v>165</v>
      </c>
      <c r="B22" s="1" t="s">
        <v>186</v>
      </c>
      <c r="C22" s="3">
        <v>1.5957019370574699E-2</v>
      </c>
      <c r="D22" s="3">
        <v>-4398.5576616749167</v>
      </c>
      <c r="E22" s="3">
        <v>7615.1704779267311</v>
      </c>
      <c r="F22" s="3">
        <v>39726390.15745306</v>
      </c>
      <c r="G22" s="3">
        <v>-0.34375</v>
      </c>
      <c r="H22" s="3">
        <v>-0.14843750000000089</v>
      </c>
      <c r="I22" s="3">
        <v>86.238465215124734</v>
      </c>
    </row>
    <row r="23" spans="1:9" x14ac:dyDescent="0.25">
      <c r="A23" t="s">
        <v>166</v>
      </c>
      <c r="B23" s="1" t="s">
        <v>187</v>
      </c>
      <c r="C23" s="3">
        <v>-0.13690862249549429</v>
      </c>
      <c r="D23" s="3">
        <v>512868.29553195089</v>
      </c>
      <c r="E23" s="3">
        <v>646285.29512463696</v>
      </c>
      <c r="F23" s="3">
        <v>-56295878.244190693</v>
      </c>
      <c r="G23" s="3">
        <v>-0.40625</v>
      </c>
      <c r="H23" s="3">
        <v>-0.26718750000000119</v>
      </c>
      <c r="I23" s="3">
        <v>-15.156485396093331</v>
      </c>
    </row>
    <row r="24" spans="1:9" x14ac:dyDescent="0.25">
      <c r="A24" t="s">
        <v>167</v>
      </c>
      <c r="B24" s="1" t="s">
        <v>188</v>
      </c>
      <c r="C24" s="3">
        <v>1.9729123450625701</v>
      </c>
      <c r="D24" s="3">
        <v>-278.37562137469649</v>
      </c>
      <c r="E24" s="3">
        <v>-242074.0783462906</v>
      </c>
      <c r="F24" s="3">
        <v>-90420739.35443449</v>
      </c>
      <c r="G24" s="3">
        <v>-0.6875</v>
      </c>
      <c r="H24" s="3">
        <v>0.23906249999999929</v>
      </c>
      <c r="I24" s="3">
        <v>-63.794182581680843</v>
      </c>
    </row>
    <row r="25" spans="1:9" x14ac:dyDescent="0.25">
      <c r="A25" t="s">
        <v>168</v>
      </c>
      <c r="B25" s="1" t="s">
        <v>189</v>
      </c>
      <c r="C25" s="3">
        <v>-0.63931947379710685</v>
      </c>
      <c r="D25" s="3">
        <v>-220.62208861112589</v>
      </c>
      <c r="E25" s="3">
        <v>24614.041972240429</v>
      </c>
      <c r="F25" s="3">
        <v>14792650.242068291</v>
      </c>
      <c r="G25" s="3">
        <v>-0.8125</v>
      </c>
      <c r="H25" s="3">
        <v>-4.8437500000001243E-2</v>
      </c>
      <c r="I25" s="3">
        <v>13.157348089037439</v>
      </c>
    </row>
    <row r="26" spans="1:9" x14ac:dyDescent="0.25">
      <c r="A26" t="s">
        <v>169</v>
      </c>
      <c r="B26" s="1" t="s">
        <v>190</v>
      </c>
      <c r="C26" s="3">
        <v>0.35279597937329132</v>
      </c>
      <c r="D26" s="3">
        <v>-2811.2354753166442</v>
      </c>
      <c r="E26" s="3">
        <v>-96911.274533772841</v>
      </c>
      <c r="F26" s="3">
        <v>-17410328.201658729</v>
      </c>
      <c r="G26" s="3">
        <v>2.9375</v>
      </c>
      <c r="H26" s="3">
        <v>3.5937500000001073E-2</v>
      </c>
      <c r="I26" s="3">
        <v>-37.641635185089399</v>
      </c>
    </row>
    <row r="27" spans="1:9" x14ac:dyDescent="0.25">
      <c r="A27" t="s">
        <v>170</v>
      </c>
      <c r="B27" s="1" t="s">
        <v>191</v>
      </c>
      <c r="C27" s="3">
        <v>0.34007046524557533</v>
      </c>
      <c r="D27" s="3">
        <v>2809.0479561276729</v>
      </c>
      <c r="E27" s="3">
        <v>60744.118188099943</v>
      </c>
      <c r="F27" s="3">
        <v>71814329.620567799</v>
      </c>
      <c r="G27" s="3">
        <v>-1.8125</v>
      </c>
      <c r="H27" s="3">
        <v>-1.154687500000001</v>
      </c>
      <c r="I27" s="3">
        <v>135.2595176683935</v>
      </c>
    </row>
    <row r="28" spans="1:9" x14ac:dyDescent="0.25">
      <c r="A28" t="s">
        <v>171</v>
      </c>
      <c r="B28" s="1" t="s">
        <v>192</v>
      </c>
      <c r="C28" s="3">
        <v>-0.19932795568383099</v>
      </c>
      <c r="D28" s="3">
        <v>2101.6476887017488</v>
      </c>
      <c r="E28" s="3">
        <v>35624.795913569629</v>
      </c>
      <c r="F28" s="3">
        <v>9744197.0426244736</v>
      </c>
      <c r="G28" s="3">
        <v>0</v>
      </c>
      <c r="H28" s="3">
        <v>-2.3437499999999108E-2</v>
      </c>
      <c r="I28" s="3">
        <v>6.5663333436414177</v>
      </c>
    </row>
    <row r="29" spans="1:9" x14ac:dyDescent="0.25">
      <c r="A29" t="s">
        <v>172</v>
      </c>
      <c r="B29" s="1" t="s">
        <v>193</v>
      </c>
      <c r="C29" s="3">
        <v>0.26019302374404418</v>
      </c>
      <c r="D29" s="3">
        <v>-820.87077441439033</v>
      </c>
      <c r="E29" s="3">
        <v>-28628.937786519531</v>
      </c>
      <c r="F29" s="3">
        <v>-15399037.68189192</v>
      </c>
      <c r="G29" s="3">
        <v>1</v>
      </c>
      <c r="H29" s="3">
        <v>1.5624999999994671E-3</v>
      </c>
      <c r="I29" s="3">
        <v>-11.967092497749039</v>
      </c>
    </row>
    <row r="30" spans="1:9" x14ac:dyDescent="0.25">
      <c r="A30" t="s">
        <v>173</v>
      </c>
      <c r="B30" s="1" t="s">
        <v>194</v>
      </c>
      <c r="C30" s="3">
        <v>4.747963914913278E-3</v>
      </c>
      <c r="D30" s="3">
        <v>1342.056092068553</v>
      </c>
      <c r="E30" s="3">
        <v>14133.59314236417</v>
      </c>
      <c r="F30" s="3">
        <v>572199.65081357956</v>
      </c>
      <c r="G30" s="3">
        <v>-0.5</v>
      </c>
      <c r="H30" s="3">
        <v>-1.562500000001243E-3</v>
      </c>
      <c r="I30" s="3">
        <v>2.446929780658138</v>
      </c>
    </row>
    <row r="31" spans="1:9" x14ac:dyDescent="0.25">
      <c r="A31" t="s">
        <v>174</v>
      </c>
      <c r="B31" s="1" t="s">
        <v>195</v>
      </c>
      <c r="C31" s="3">
        <v>-8.4361427998511651E-2</v>
      </c>
      <c r="D31" s="3">
        <v>-4559.3250950463116</v>
      </c>
      <c r="E31" s="3">
        <v>-22267.715978112072</v>
      </c>
      <c r="F31" s="3">
        <v>7336321.5000739098</v>
      </c>
      <c r="G31" s="3">
        <v>0.625</v>
      </c>
      <c r="H31" s="3">
        <v>1.406249999999964E-2</v>
      </c>
      <c r="I31" s="3">
        <v>21.052846947261742</v>
      </c>
    </row>
    <row r="32" spans="1:9" x14ac:dyDescent="0.25">
      <c r="A32" t="s">
        <v>175</v>
      </c>
      <c r="B32" s="1" t="s">
        <v>196</v>
      </c>
      <c r="C32" s="3">
        <v>-0.49965709693003818</v>
      </c>
      <c r="D32" s="3">
        <v>511.76006894931197</v>
      </c>
      <c r="E32" s="3">
        <v>30245.9061062783</v>
      </c>
      <c r="F32" s="3">
        <v>15912409.43229294</v>
      </c>
      <c r="G32" s="3">
        <v>3.125E-2</v>
      </c>
      <c r="H32" s="3">
        <v>-1.718750000000124E-2</v>
      </c>
      <c r="I32" s="3">
        <v>13.598556066769561</v>
      </c>
    </row>
    <row r="33" spans="1:9" x14ac:dyDescent="0.25">
      <c r="A33" t="s">
        <v>176</v>
      </c>
      <c r="B33" s="1" t="s">
        <v>197</v>
      </c>
      <c r="C33" s="3">
        <v>0.32317290298421408</v>
      </c>
      <c r="D33" s="3">
        <v>-1526.582555357367</v>
      </c>
      <c r="E33" s="3">
        <v>-41363.079478967928</v>
      </c>
      <c r="F33" s="3">
        <v>-8463368.4076004028</v>
      </c>
      <c r="G33" s="3">
        <v>-0.21875</v>
      </c>
      <c r="H33" s="3">
        <v>-1.5624999999994671E-3</v>
      </c>
      <c r="I33" s="3">
        <v>-16.942006940649659</v>
      </c>
    </row>
    <row r="34" spans="1:9" x14ac:dyDescent="0.25">
      <c r="A34" t="s">
        <v>177</v>
      </c>
      <c r="B34" s="1" t="s">
        <v>198</v>
      </c>
      <c r="C34" s="3">
        <v>0.44346147972172562</v>
      </c>
      <c r="D34" s="3">
        <v>7307.0389721803367</v>
      </c>
      <c r="E34" s="3">
        <v>32960.086519610137</v>
      </c>
      <c r="F34" s="3">
        <v>23396472.325238232</v>
      </c>
      <c r="G34" s="3">
        <v>9.375E-2</v>
      </c>
      <c r="H34" s="3">
        <v>-0.16718749999999891</v>
      </c>
      <c r="I34" s="3">
        <v>15.739359134093551</v>
      </c>
    </row>
    <row r="35" spans="1:9" x14ac:dyDescent="0.25">
      <c r="A35" t="s">
        <v>178</v>
      </c>
      <c r="B35" s="1" t="s">
        <v>199</v>
      </c>
      <c r="C35" s="3">
        <v>1.1885932440833359E-2</v>
      </c>
      <c r="D35" s="3">
        <v>759.9512224085629</v>
      </c>
      <c r="E35" s="3">
        <v>18606.260549364612</v>
      </c>
      <c r="F35" s="3">
        <v>3956299.3059649472</v>
      </c>
      <c r="G35" s="3">
        <v>-0.59375</v>
      </c>
      <c r="H35" s="3">
        <v>4.6874999999992886E-3</v>
      </c>
      <c r="I35" s="3">
        <v>5.3456840626806752</v>
      </c>
    </row>
    <row r="36" spans="1:9" x14ac:dyDescent="0.25">
      <c r="A36" t="s">
        <v>179</v>
      </c>
      <c r="B36" s="1" t="s">
        <v>200</v>
      </c>
      <c r="C36" s="3">
        <v>6.7420746410551402E-3</v>
      </c>
      <c r="D36" s="3">
        <v>-1135.4607077725229</v>
      </c>
      <c r="E36" s="3">
        <v>-14277.01259797998</v>
      </c>
      <c r="F36" s="3">
        <v>-6601589.8420829773</v>
      </c>
      <c r="G36" s="3">
        <v>0.40625</v>
      </c>
      <c r="H36" s="3">
        <v>2.6562499999998931E-2</v>
      </c>
      <c r="I36" s="3">
        <v>-9.5722437506203732</v>
      </c>
    </row>
    <row r="37" spans="1:9" x14ac:dyDescent="0.25">
      <c r="A37" t="s">
        <v>180</v>
      </c>
      <c r="B37" s="1" t="s">
        <v>201</v>
      </c>
      <c r="C37" s="3">
        <v>0.14089893445656809</v>
      </c>
      <c r="D37" s="3">
        <v>3480.4095987081532</v>
      </c>
      <c r="E37" s="3">
        <v>20276.024346077811</v>
      </c>
      <c r="F37" s="3">
        <v>-1013531.8264336589</v>
      </c>
      <c r="G37" s="3">
        <v>-0.59375</v>
      </c>
      <c r="H37" s="3">
        <v>-0.1078124999999996</v>
      </c>
      <c r="I37" s="3">
        <v>5.787955911247991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9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>
        <v>1</v>
      </c>
      <c r="B2" t="s">
        <v>24</v>
      </c>
      <c r="C2">
        <v>8.0799761784373914</v>
      </c>
      <c r="D2">
        <v>84126259.35199818</v>
      </c>
      <c r="E2">
        <v>1213230.612327972</v>
      </c>
      <c r="F2">
        <v>2240322326.9893298</v>
      </c>
      <c r="G2">
        <v>19</v>
      </c>
      <c r="H2">
        <v>12.7</v>
      </c>
      <c r="I2">
        <v>2975.969910495558</v>
      </c>
    </row>
    <row r="3" spans="1:9" x14ac:dyDescent="0.25">
      <c r="A3">
        <v>2</v>
      </c>
      <c r="B3" t="s">
        <v>25</v>
      </c>
      <c r="C3">
        <v>9.5330672419537024</v>
      </c>
      <c r="D3">
        <v>44030996.907396004</v>
      </c>
      <c r="E3">
        <v>20537835.14332683</v>
      </c>
      <c r="F3">
        <v>6951647032.1746464</v>
      </c>
      <c r="G3">
        <v>26</v>
      </c>
      <c r="H3">
        <v>13.6</v>
      </c>
      <c r="I3">
        <v>2850.712010462802</v>
      </c>
    </row>
    <row r="4" spans="1:9" x14ac:dyDescent="0.25">
      <c r="A4">
        <v>3</v>
      </c>
      <c r="B4" t="s">
        <v>26</v>
      </c>
      <c r="C4">
        <v>11.023441741258489</v>
      </c>
      <c r="D4">
        <v>18709411.44760669</v>
      </c>
      <c r="E4">
        <v>35074587.236641452</v>
      </c>
      <c r="F4">
        <v>9769408890.0874252</v>
      </c>
      <c r="G4">
        <v>34</v>
      </c>
      <c r="H4">
        <v>15.8</v>
      </c>
      <c r="I4">
        <v>2646.5228539095629</v>
      </c>
    </row>
    <row r="5" spans="1:9" x14ac:dyDescent="0.25">
      <c r="A5">
        <v>4</v>
      </c>
      <c r="B5" t="s">
        <v>27</v>
      </c>
      <c r="C5">
        <v>12.221368391421439</v>
      </c>
      <c r="D5">
        <v>6836850.7070305264</v>
      </c>
      <c r="E5">
        <v>83330776.475818992</v>
      </c>
      <c r="F5">
        <v>11605101861.50176</v>
      </c>
      <c r="G5">
        <v>42</v>
      </c>
      <c r="H5">
        <v>15.9</v>
      </c>
      <c r="I5">
        <v>2403.216608892747</v>
      </c>
    </row>
    <row r="6" spans="1:9" x14ac:dyDescent="0.25">
      <c r="A6">
        <v>5</v>
      </c>
      <c r="B6" t="s">
        <v>28</v>
      </c>
      <c r="C6">
        <v>7.8929024565949959</v>
      </c>
      <c r="D6">
        <v>83660321.628851131</v>
      </c>
      <c r="E6">
        <v>667081.72362920945</v>
      </c>
      <c r="F6">
        <v>2966990372.6944981</v>
      </c>
      <c r="G6">
        <v>18</v>
      </c>
      <c r="H6">
        <v>12.7</v>
      </c>
      <c r="I6">
        <v>2984.779719191215</v>
      </c>
    </row>
    <row r="7" spans="1:9" x14ac:dyDescent="0.25">
      <c r="A7">
        <v>6</v>
      </c>
      <c r="B7" t="s">
        <v>29</v>
      </c>
      <c r="C7">
        <v>8.6721691970635675</v>
      </c>
      <c r="D7">
        <v>38154302.420905083</v>
      </c>
      <c r="E7">
        <v>13394637.68010986</v>
      </c>
      <c r="F7">
        <v>8247453957.5387859</v>
      </c>
      <c r="G7">
        <v>21</v>
      </c>
      <c r="H7">
        <v>14.5</v>
      </c>
      <c r="I7">
        <v>2855.6864208572729</v>
      </c>
    </row>
    <row r="8" spans="1:9" x14ac:dyDescent="0.25">
      <c r="A8">
        <v>7</v>
      </c>
      <c r="B8" t="s">
        <v>30</v>
      </c>
      <c r="C8">
        <v>10.69394399794227</v>
      </c>
      <c r="D8">
        <v>16603348.3104262</v>
      </c>
      <c r="E8">
        <v>32567617.697585769</v>
      </c>
      <c r="F8">
        <v>10682016016.35836</v>
      </c>
      <c r="G8">
        <v>31</v>
      </c>
      <c r="H8">
        <v>15.9</v>
      </c>
      <c r="I8">
        <v>2656.4733082094208</v>
      </c>
    </row>
    <row r="9" spans="1:9" x14ac:dyDescent="0.25">
      <c r="A9">
        <v>8</v>
      </c>
      <c r="B9" t="s">
        <v>31</v>
      </c>
      <c r="C9">
        <v>11.81111174957357</v>
      </c>
      <c r="D9">
        <v>4647474.8172167325</v>
      </c>
      <c r="E9">
        <v>80712721.662692457</v>
      </c>
      <c r="F9">
        <v>12485980958.13966</v>
      </c>
      <c r="G9">
        <v>38</v>
      </c>
      <c r="H9">
        <v>14.9</v>
      </c>
      <c r="I9">
        <v>2285.2291470827749</v>
      </c>
    </row>
    <row r="10" spans="1:9" x14ac:dyDescent="0.25">
      <c r="A10">
        <v>9</v>
      </c>
      <c r="B10" t="s">
        <v>32</v>
      </c>
      <c r="C10">
        <v>10.423174783128321</v>
      </c>
      <c r="D10">
        <v>84108915.833056957</v>
      </c>
      <c r="E10">
        <v>1173944.972300167</v>
      </c>
      <c r="F10">
        <v>2235732403.260076</v>
      </c>
      <c r="G10">
        <v>19</v>
      </c>
      <c r="H10">
        <v>12.4</v>
      </c>
      <c r="I10">
        <v>2787.0769433848441</v>
      </c>
    </row>
    <row r="11" spans="1:9" x14ac:dyDescent="0.25">
      <c r="A11">
        <v>10</v>
      </c>
      <c r="B11" t="s">
        <v>33</v>
      </c>
      <c r="C11">
        <v>11.774664166275871</v>
      </c>
      <c r="D11">
        <v>44012346.542536348</v>
      </c>
      <c r="E11">
        <v>20278965.57314723</v>
      </c>
      <c r="F11">
        <v>6857774574.730257</v>
      </c>
      <c r="G11">
        <v>25</v>
      </c>
      <c r="H11">
        <v>13.6</v>
      </c>
      <c r="I11">
        <v>2601.503229380543</v>
      </c>
    </row>
    <row r="12" spans="1:9" x14ac:dyDescent="0.25">
      <c r="A12">
        <v>11</v>
      </c>
      <c r="B12" t="s">
        <v>34</v>
      </c>
      <c r="C12">
        <v>15.129149093287641</v>
      </c>
      <c r="D12">
        <v>18680237.566553868</v>
      </c>
      <c r="E12">
        <v>34541360.514346942</v>
      </c>
      <c r="F12">
        <v>9605022651.5169125</v>
      </c>
      <c r="G12">
        <v>34</v>
      </c>
      <c r="H12">
        <v>16.899999999999999</v>
      </c>
      <c r="I12">
        <v>2364.942942023386</v>
      </c>
    </row>
    <row r="13" spans="1:9" x14ac:dyDescent="0.25">
      <c r="A13">
        <v>12</v>
      </c>
      <c r="B13" t="s">
        <v>35</v>
      </c>
      <c r="C13">
        <v>20.620257891986871</v>
      </c>
      <c r="D13">
        <v>6807527.5053437008</v>
      </c>
      <c r="E13">
        <v>82575991.396384776</v>
      </c>
      <c r="F13">
        <v>11328182799.89592</v>
      </c>
      <c r="G13">
        <v>40</v>
      </c>
      <c r="H13">
        <v>16.5</v>
      </c>
      <c r="I13">
        <v>2018.895371245768</v>
      </c>
    </row>
    <row r="14" spans="1:9" x14ac:dyDescent="0.25">
      <c r="A14">
        <v>13</v>
      </c>
      <c r="B14" t="s">
        <v>36</v>
      </c>
      <c r="C14">
        <v>10.2714141848182</v>
      </c>
      <c r="D14">
        <v>83643186.652874172</v>
      </c>
      <c r="E14">
        <v>651005.87978229695</v>
      </c>
      <c r="F14">
        <v>2973325154.1085248</v>
      </c>
      <c r="G14">
        <v>18</v>
      </c>
      <c r="H14">
        <v>12.4</v>
      </c>
      <c r="I14">
        <v>2800.8853464023309</v>
      </c>
    </row>
    <row r="15" spans="1:9" x14ac:dyDescent="0.25">
      <c r="A15">
        <v>14</v>
      </c>
      <c r="B15" t="s">
        <v>37</v>
      </c>
      <c r="C15">
        <v>10.73896266789659</v>
      </c>
      <c r="D15">
        <v>38137331.484798707</v>
      </c>
      <c r="E15">
        <v>13275284.39697242</v>
      </c>
      <c r="F15">
        <v>8209471415.9722509</v>
      </c>
      <c r="G15">
        <v>21</v>
      </c>
      <c r="H15">
        <v>14.5</v>
      </c>
      <c r="I15">
        <v>2642.749674885325</v>
      </c>
    </row>
    <row r="16" spans="1:9" x14ac:dyDescent="0.25">
      <c r="A16">
        <v>15</v>
      </c>
      <c r="B16" t="s">
        <v>38</v>
      </c>
      <c r="C16">
        <v>13.73501811820957</v>
      </c>
      <c r="D16">
        <v>16576480.764872519</v>
      </c>
      <c r="E16">
        <v>32123906.631836329</v>
      </c>
      <c r="F16">
        <v>10559389439.361851</v>
      </c>
      <c r="G16">
        <v>31</v>
      </c>
      <c r="H16">
        <v>16.7</v>
      </c>
      <c r="I16">
        <v>2409.7151759998169</v>
      </c>
    </row>
    <row r="17" spans="1:9" x14ac:dyDescent="0.25">
      <c r="A17">
        <v>16</v>
      </c>
      <c r="B17" t="s">
        <v>39</v>
      </c>
      <c r="C17">
        <v>19.613174874036641</v>
      </c>
      <c r="D17">
        <v>4640286.5078578349</v>
      </c>
      <c r="E17">
        <v>80069750.43235296</v>
      </c>
      <c r="F17">
        <v>12206691208.723049</v>
      </c>
      <c r="G17">
        <v>37</v>
      </c>
      <c r="H17">
        <v>15.5</v>
      </c>
      <c r="I17">
        <v>1909.31789478111</v>
      </c>
    </row>
    <row r="18" spans="1:9" x14ac:dyDescent="0.25">
      <c r="A18">
        <v>17</v>
      </c>
      <c r="B18" t="s">
        <v>40</v>
      </c>
      <c r="C18">
        <v>7.9925991424792784</v>
      </c>
      <c r="D18">
        <v>84126417.061462492</v>
      </c>
      <c r="E18">
        <v>1222105.0150293</v>
      </c>
      <c r="F18">
        <v>2246692780.0836191</v>
      </c>
      <c r="G18">
        <v>18</v>
      </c>
      <c r="H18">
        <v>12.7</v>
      </c>
      <c r="I18">
        <v>2981.9191158690828</v>
      </c>
    </row>
    <row r="19" spans="1:9" x14ac:dyDescent="0.25">
      <c r="A19">
        <v>18</v>
      </c>
      <c r="B19" t="s">
        <v>41</v>
      </c>
      <c r="C19">
        <v>8.3329538233358278</v>
      </c>
      <c r="D19">
        <v>44034309.304874972</v>
      </c>
      <c r="E19">
        <v>20675745.90399462</v>
      </c>
      <c r="F19">
        <v>7033802149.0088911</v>
      </c>
      <c r="G19">
        <v>19</v>
      </c>
      <c r="H19">
        <v>13.7</v>
      </c>
      <c r="I19">
        <v>2930.7955151848792</v>
      </c>
    </row>
    <row r="20" spans="1:9" x14ac:dyDescent="0.25">
      <c r="A20">
        <v>19</v>
      </c>
      <c r="B20" t="s">
        <v>42</v>
      </c>
      <c r="C20">
        <v>10.65350888824601</v>
      </c>
      <c r="D20">
        <v>18710995.879794318</v>
      </c>
      <c r="E20">
        <v>35148228.393926859</v>
      </c>
      <c r="F20">
        <v>9814455087.3927765</v>
      </c>
      <c r="G20">
        <v>31</v>
      </c>
      <c r="H20">
        <v>15.6</v>
      </c>
      <c r="I20">
        <v>2677.9013189281118</v>
      </c>
    </row>
    <row r="21" spans="1:9" x14ac:dyDescent="0.25">
      <c r="A21">
        <v>20</v>
      </c>
      <c r="B21" t="s">
        <v>43</v>
      </c>
      <c r="C21">
        <v>11.190765685094361</v>
      </c>
      <c r="D21">
        <v>6840044.1163305528</v>
      </c>
      <c r="E21">
        <v>83456701.416804135</v>
      </c>
      <c r="F21">
        <v>11679862769.911249</v>
      </c>
      <c r="G21">
        <v>36</v>
      </c>
      <c r="H21">
        <v>15.8</v>
      </c>
      <c r="I21">
        <v>2460.47707383541</v>
      </c>
    </row>
    <row r="22" spans="1:9" x14ac:dyDescent="0.25">
      <c r="A22">
        <v>21</v>
      </c>
      <c r="B22" t="s">
        <v>44</v>
      </c>
      <c r="C22">
        <v>7.8692564580567819</v>
      </c>
      <c r="D22">
        <v>83660344.930378333</v>
      </c>
      <c r="E22">
        <v>669457.52012121154</v>
      </c>
      <c r="F22">
        <v>2968971492.1199031</v>
      </c>
      <c r="G22">
        <v>18</v>
      </c>
      <c r="H22">
        <v>12.7</v>
      </c>
      <c r="I22">
        <v>2986.6083109959518</v>
      </c>
    </row>
    <row r="23" spans="1:9" x14ac:dyDescent="0.25">
      <c r="A23">
        <v>22</v>
      </c>
      <c r="B23" t="s">
        <v>45</v>
      </c>
      <c r="C23">
        <v>8.2230672980978454</v>
      </c>
      <c r="D23">
        <v>38154924.907051846</v>
      </c>
      <c r="E23">
        <v>13444373.51806418</v>
      </c>
      <c r="F23">
        <v>8287116217.8782616</v>
      </c>
      <c r="G23">
        <v>19</v>
      </c>
      <c r="H23">
        <v>14.6</v>
      </c>
      <c r="I23">
        <v>2887.1541860085431</v>
      </c>
    </row>
    <row r="24" spans="1:9" x14ac:dyDescent="0.25">
      <c r="A24">
        <v>23</v>
      </c>
      <c r="B24" t="s">
        <v>46</v>
      </c>
      <c r="C24">
        <v>10.24918356741181</v>
      </c>
      <c r="D24">
        <v>16604428.04016388</v>
      </c>
      <c r="E24">
        <v>32617072.65813997</v>
      </c>
      <c r="F24">
        <v>10707404459.525049</v>
      </c>
      <c r="G24">
        <v>29</v>
      </c>
      <c r="H24">
        <v>15.8</v>
      </c>
      <c r="I24">
        <v>2681.8358645373492</v>
      </c>
    </row>
    <row r="25" spans="1:9" x14ac:dyDescent="0.25">
      <c r="A25">
        <v>24</v>
      </c>
      <c r="B25" t="s">
        <v>47</v>
      </c>
      <c r="C25">
        <v>11.09111796163795</v>
      </c>
      <c r="D25">
        <v>4649250.9443248631</v>
      </c>
      <c r="E25">
        <v>80801575.103835493</v>
      </c>
      <c r="F25">
        <v>12533942317.70396</v>
      </c>
      <c r="G25">
        <v>34</v>
      </c>
      <c r="H25">
        <v>14.8</v>
      </c>
      <c r="I25">
        <v>2334.5951530734128</v>
      </c>
    </row>
    <row r="26" spans="1:9" x14ac:dyDescent="0.25">
      <c r="A26">
        <v>25</v>
      </c>
      <c r="B26" t="s">
        <v>48</v>
      </c>
      <c r="C26">
        <v>10.36743854871605</v>
      </c>
      <c r="D26">
        <v>84109307.833202749</v>
      </c>
      <c r="E26">
        <v>1190415.385211132</v>
      </c>
      <c r="F26">
        <v>2247924912.0908599</v>
      </c>
      <c r="G26">
        <v>18</v>
      </c>
      <c r="H26">
        <v>12.4</v>
      </c>
      <c r="I26">
        <v>2794.9897995553879</v>
      </c>
    </row>
    <row r="27" spans="1:9" x14ac:dyDescent="0.25">
      <c r="A27">
        <v>26</v>
      </c>
      <c r="B27" t="s">
        <v>49</v>
      </c>
      <c r="C27">
        <v>10.693395885055409</v>
      </c>
      <c r="D27">
        <v>44019970.214592047</v>
      </c>
      <c r="E27">
        <v>20540439.552149441</v>
      </c>
      <c r="F27">
        <v>6999488153.8765888</v>
      </c>
      <c r="G27">
        <v>19</v>
      </c>
      <c r="H27">
        <v>13.6</v>
      </c>
      <c r="I27">
        <v>2712.623651381889</v>
      </c>
    </row>
    <row r="28" spans="1:9" x14ac:dyDescent="0.25">
      <c r="A28">
        <v>27</v>
      </c>
      <c r="B28" t="s">
        <v>50</v>
      </c>
      <c r="C28">
        <v>13.57640362222679</v>
      </c>
      <c r="D28">
        <v>18682912.55832646</v>
      </c>
      <c r="E28">
        <v>34677283.542006388</v>
      </c>
      <c r="F28">
        <v>9701101651.3540745</v>
      </c>
      <c r="G28">
        <v>30</v>
      </c>
      <c r="H28">
        <v>16.7</v>
      </c>
      <c r="I28">
        <v>2438.9617423332988</v>
      </c>
    </row>
    <row r="29" spans="1:9" x14ac:dyDescent="0.25">
      <c r="A29">
        <v>28</v>
      </c>
      <c r="B29" t="s">
        <v>51</v>
      </c>
      <c r="C29">
        <v>15.62591607443643</v>
      </c>
      <c r="D29">
        <v>6813053.4074755833</v>
      </c>
      <c r="E29">
        <v>82805842.453211099</v>
      </c>
      <c r="F29">
        <v>11452371072.13076</v>
      </c>
      <c r="G29">
        <v>35</v>
      </c>
      <c r="H29">
        <v>16.3</v>
      </c>
      <c r="I29">
        <v>2159.7677199695631</v>
      </c>
    </row>
    <row r="30" spans="1:9" x14ac:dyDescent="0.25">
      <c r="A30">
        <v>29</v>
      </c>
      <c r="B30" t="s">
        <v>52</v>
      </c>
      <c r="C30">
        <v>10.2702762275167</v>
      </c>
      <c r="D30">
        <v>83643248.818067029</v>
      </c>
      <c r="E30">
        <v>655425.37629865203</v>
      </c>
      <c r="F30">
        <v>2976812335.7705421</v>
      </c>
      <c r="G30">
        <v>18</v>
      </c>
      <c r="H30">
        <v>12.4</v>
      </c>
      <c r="I30">
        <v>2803.1008225492928</v>
      </c>
    </row>
    <row r="31" spans="1:9" x14ac:dyDescent="0.25">
      <c r="A31">
        <v>30</v>
      </c>
      <c r="B31" t="s">
        <v>53</v>
      </c>
      <c r="C31">
        <v>10.54777666936646</v>
      </c>
      <c r="D31">
        <v>38140080.59335281</v>
      </c>
      <c r="E31">
        <v>13370389.870304611</v>
      </c>
      <c r="F31">
        <v>8265029098.3684311</v>
      </c>
      <c r="G31">
        <v>19</v>
      </c>
      <c r="H31">
        <v>14.5</v>
      </c>
      <c r="I31">
        <v>2679.232317397124</v>
      </c>
    </row>
    <row r="32" spans="1:9" x14ac:dyDescent="0.25">
      <c r="A32">
        <v>31</v>
      </c>
      <c r="B32" t="s">
        <v>54</v>
      </c>
      <c r="C32">
        <v>13.022285888780059</v>
      </c>
      <c r="D32">
        <v>16578336.028487731</v>
      </c>
      <c r="E32">
        <v>32216099.603926759</v>
      </c>
      <c r="F32">
        <v>10625174780.06296</v>
      </c>
      <c r="G32">
        <v>28</v>
      </c>
      <c r="H32">
        <v>16.600000000000001</v>
      </c>
      <c r="I32">
        <v>2451.4951887962711</v>
      </c>
    </row>
    <row r="33" spans="1:9" x14ac:dyDescent="0.25">
      <c r="A33">
        <v>32</v>
      </c>
      <c r="B33" t="s">
        <v>55</v>
      </c>
      <c r="C33">
        <v>15.991047871923969</v>
      </c>
      <c r="D33">
        <v>4640286.5078578349</v>
      </c>
      <c r="E33">
        <v>80227856.751658902</v>
      </c>
      <c r="F33">
        <v>12297437636.18461</v>
      </c>
      <c r="G33">
        <v>33</v>
      </c>
      <c r="H33">
        <v>15.4</v>
      </c>
      <c r="I33">
        <v>2010.560743330577</v>
      </c>
    </row>
    <row r="34" spans="1:9" x14ac:dyDescent="0.25">
      <c r="A34">
        <v>33</v>
      </c>
      <c r="B34" t="s">
        <v>56</v>
      </c>
      <c r="C34">
        <v>8.15843593737047</v>
      </c>
      <c r="D34">
        <v>84125074.853259102</v>
      </c>
      <c r="E34">
        <v>1190115.7202107289</v>
      </c>
      <c r="F34">
        <v>2231568286.876194</v>
      </c>
      <c r="G34">
        <v>20</v>
      </c>
      <c r="H34">
        <v>12.7</v>
      </c>
      <c r="I34">
        <v>2964.026732138379</v>
      </c>
    </row>
    <row r="35" spans="1:9" x14ac:dyDescent="0.25">
      <c r="A35">
        <v>34</v>
      </c>
      <c r="B35" t="s">
        <v>57</v>
      </c>
      <c r="C35">
        <v>9.6310236146876065</v>
      </c>
      <c r="D35">
        <v>44026801.767949283</v>
      </c>
      <c r="E35">
        <v>20423217.84655096</v>
      </c>
      <c r="F35">
        <v>6890290055.3129148</v>
      </c>
      <c r="G35">
        <v>31</v>
      </c>
      <c r="H35">
        <v>13.6</v>
      </c>
      <c r="I35">
        <v>2779.7884996485559</v>
      </c>
    </row>
    <row r="36" spans="1:9" x14ac:dyDescent="0.25">
      <c r="A36">
        <v>35</v>
      </c>
      <c r="B36" t="s">
        <v>58</v>
      </c>
      <c r="C36">
        <v>11.024764177545141</v>
      </c>
      <c r="D36">
        <v>18693425.973397151</v>
      </c>
      <c r="E36">
        <v>34871486.455626316</v>
      </c>
      <c r="F36">
        <v>9750226603.1801777</v>
      </c>
      <c r="G36">
        <v>43</v>
      </c>
      <c r="H36">
        <v>16.2</v>
      </c>
      <c r="I36">
        <v>2594.9489260348309</v>
      </c>
    </row>
    <row r="37" spans="1:9" x14ac:dyDescent="0.25">
      <c r="A37">
        <v>36</v>
      </c>
      <c r="B37" t="s">
        <v>59</v>
      </c>
      <c r="C37">
        <v>12.373517447424771</v>
      </c>
      <c r="D37">
        <v>6820505.4211699897</v>
      </c>
      <c r="E37">
        <v>83094960.295781493</v>
      </c>
      <c r="F37">
        <v>11581141465.6416</v>
      </c>
      <c r="G37">
        <v>53</v>
      </c>
      <c r="H37">
        <v>16.2</v>
      </c>
      <c r="I37">
        <v>2316.9786891865469</v>
      </c>
    </row>
    <row r="38" spans="1:9" x14ac:dyDescent="0.25">
      <c r="A38">
        <v>37</v>
      </c>
      <c r="B38" t="s">
        <v>60</v>
      </c>
      <c r="C38">
        <v>7.9168408880329926</v>
      </c>
      <c r="D38">
        <v>83659634.401035428</v>
      </c>
      <c r="E38">
        <v>654466.78330903873</v>
      </c>
      <c r="F38">
        <v>2963407393.9713969</v>
      </c>
      <c r="G38">
        <v>18</v>
      </c>
      <c r="H38">
        <v>12.7</v>
      </c>
      <c r="I38">
        <v>2979.817525442958</v>
      </c>
    </row>
    <row r="39" spans="1:9" x14ac:dyDescent="0.25">
      <c r="A39">
        <v>38</v>
      </c>
      <c r="B39" t="s">
        <v>61</v>
      </c>
      <c r="C39">
        <v>8.9597195617363781</v>
      </c>
      <c r="D39">
        <v>38152646.266470551</v>
      </c>
      <c r="E39">
        <v>13332960.79421309</v>
      </c>
      <c r="F39">
        <v>8205249497.3238602</v>
      </c>
      <c r="G39">
        <v>24</v>
      </c>
      <c r="H39">
        <v>14.6</v>
      </c>
      <c r="I39">
        <v>2803.0082018603389</v>
      </c>
    </row>
    <row r="40" spans="1:9" x14ac:dyDescent="0.25">
      <c r="A40">
        <v>39</v>
      </c>
      <c r="B40" t="s">
        <v>62</v>
      </c>
      <c r="C40">
        <v>10.69402906206062</v>
      </c>
      <c r="D40">
        <v>16590432.168734919</v>
      </c>
      <c r="E40">
        <v>32396372.19784179</v>
      </c>
      <c r="F40">
        <v>10668756004.336229</v>
      </c>
      <c r="G40">
        <v>39</v>
      </c>
      <c r="H40">
        <v>16.2</v>
      </c>
      <c r="I40">
        <v>2606.2825019473948</v>
      </c>
    </row>
    <row r="41" spans="1:9" x14ac:dyDescent="0.25">
      <c r="A41">
        <v>40</v>
      </c>
      <c r="B41" t="s">
        <v>63</v>
      </c>
      <c r="C41">
        <v>12.07863323218554</v>
      </c>
      <c r="D41">
        <v>4643569.216793214</v>
      </c>
      <c r="E41">
        <v>80511446.093190566</v>
      </c>
      <c r="F41">
        <v>12431352843.504049</v>
      </c>
      <c r="G41">
        <v>47</v>
      </c>
      <c r="H41">
        <v>15.1</v>
      </c>
      <c r="I41">
        <v>2186.8413487252569</v>
      </c>
    </row>
    <row r="42" spans="1:9" x14ac:dyDescent="0.25">
      <c r="A42">
        <v>41</v>
      </c>
      <c r="B42" t="s">
        <v>64</v>
      </c>
      <c r="C42">
        <v>10.549291813532459</v>
      </c>
      <c r="D42">
        <v>84106524.704342127</v>
      </c>
      <c r="E42">
        <v>1131269.1437299631</v>
      </c>
      <c r="F42">
        <v>2221008009.4583359</v>
      </c>
      <c r="G42">
        <v>20</v>
      </c>
      <c r="H42">
        <v>12.4</v>
      </c>
      <c r="I42">
        <v>2765.6597496261588</v>
      </c>
    </row>
    <row r="43" spans="1:9" x14ac:dyDescent="0.25">
      <c r="A43">
        <v>42</v>
      </c>
      <c r="B43" t="s">
        <v>65</v>
      </c>
      <c r="C43">
        <v>11.869185934096221</v>
      </c>
      <c r="D43">
        <v>43994385.86264427</v>
      </c>
      <c r="E43">
        <v>20053083.614583232</v>
      </c>
      <c r="F43">
        <v>6836053411.448863</v>
      </c>
      <c r="G43">
        <v>31</v>
      </c>
      <c r="H43">
        <v>13.5</v>
      </c>
      <c r="I43">
        <v>2544.952764413054</v>
      </c>
    </row>
    <row r="44" spans="1:9" x14ac:dyDescent="0.25">
      <c r="A44">
        <v>43</v>
      </c>
      <c r="B44" t="s">
        <v>66</v>
      </c>
      <c r="C44">
        <v>15.174230670109671</v>
      </c>
      <c r="D44">
        <v>18653165.432680368</v>
      </c>
      <c r="E44">
        <v>34186981.550421163</v>
      </c>
      <c r="F44">
        <v>9568056370.8459682</v>
      </c>
      <c r="G44">
        <v>41</v>
      </c>
      <c r="H44">
        <v>17</v>
      </c>
      <c r="I44">
        <v>2280.6769959831458</v>
      </c>
    </row>
    <row r="45" spans="1:9" x14ac:dyDescent="0.25">
      <c r="A45">
        <v>44</v>
      </c>
      <c r="B45" t="s">
        <v>67</v>
      </c>
      <c r="C45">
        <v>21.99443308525062</v>
      </c>
      <c r="D45">
        <v>6796168.2361327596</v>
      </c>
      <c r="E45">
        <v>82157610.608088583</v>
      </c>
      <c r="F45">
        <v>11238612023.578079</v>
      </c>
      <c r="G45">
        <v>50</v>
      </c>
      <c r="H45">
        <v>17</v>
      </c>
      <c r="I45">
        <v>1842.381438326111</v>
      </c>
    </row>
    <row r="46" spans="1:9" x14ac:dyDescent="0.25">
      <c r="A46">
        <v>45</v>
      </c>
      <c r="B46" t="s">
        <v>68</v>
      </c>
      <c r="C46">
        <v>10.27082332776452</v>
      </c>
      <c r="D46">
        <v>83641767.54960683</v>
      </c>
      <c r="E46">
        <v>628644.02790481062</v>
      </c>
      <c r="F46">
        <v>2968257170.4444251</v>
      </c>
      <c r="G46">
        <v>18</v>
      </c>
      <c r="H46">
        <v>12.4</v>
      </c>
      <c r="I46">
        <v>2794.1588725356628</v>
      </c>
    </row>
    <row r="47" spans="1:9" x14ac:dyDescent="0.25">
      <c r="A47">
        <v>46</v>
      </c>
      <c r="B47" t="s">
        <v>69</v>
      </c>
      <c r="C47">
        <v>10.74701612351488</v>
      </c>
      <c r="D47">
        <v>38127962.268611088</v>
      </c>
      <c r="E47">
        <v>13158010.28284242</v>
      </c>
      <c r="F47">
        <v>8197998784.500452</v>
      </c>
      <c r="G47">
        <v>23</v>
      </c>
      <c r="H47">
        <v>14.6</v>
      </c>
      <c r="I47">
        <v>2617.871747078942</v>
      </c>
    </row>
    <row r="48" spans="1:9" x14ac:dyDescent="0.25">
      <c r="A48">
        <v>47</v>
      </c>
      <c r="B48" t="s">
        <v>70</v>
      </c>
      <c r="C48">
        <v>14.101764202477741</v>
      </c>
      <c r="D48">
        <v>16552963.02881659</v>
      </c>
      <c r="E48">
        <v>31813469.041329291</v>
      </c>
      <c r="F48">
        <v>10538199599.929779</v>
      </c>
      <c r="G48">
        <v>37</v>
      </c>
      <c r="H48">
        <v>17.100000000000001</v>
      </c>
      <c r="I48">
        <v>2328.19185740582</v>
      </c>
    </row>
    <row r="49" spans="1:9" x14ac:dyDescent="0.25">
      <c r="A49">
        <v>48</v>
      </c>
      <c r="B49" t="s">
        <v>71</v>
      </c>
      <c r="C49">
        <v>21.034890097751092</v>
      </c>
      <c r="D49">
        <v>4639003.9162646988</v>
      </c>
      <c r="E49">
        <v>79735092.552602649</v>
      </c>
      <c r="F49">
        <v>12101494025.9224</v>
      </c>
      <c r="G49">
        <v>44</v>
      </c>
      <c r="H49">
        <v>15.6</v>
      </c>
      <c r="I49">
        <v>1724.4797603952909</v>
      </c>
    </row>
    <row r="50" spans="1:9" x14ac:dyDescent="0.25">
      <c r="A50">
        <v>49</v>
      </c>
      <c r="B50" t="s">
        <v>72</v>
      </c>
      <c r="C50">
        <v>8.0515870128767375</v>
      </c>
      <c r="D50">
        <v>84125582.467494518</v>
      </c>
      <c r="E50">
        <v>1203989.5948140461</v>
      </c>
      <c r="F50">
        <v>2239601261.04426</v>
      </c>
      <c r="G50">
        <v>19</v>
      </c>
      <c r="H50">
        <v>12.7</v>
      </c>
      <c r="I50">
        <v>2972.2513145126491</v>
      </c>
    </row>
    <row r="51" spans="1:9" x14ac:dyDescent="0.25">
      <c r="A51">
        <v>50</v>
      </c>
      <c r="B51" t="s">
        <v>73</v>
      </c>
      <c r="C51">
        <v>8.4964124480339223</v>
      </c>
      <c r="D51">
        <v>44033052.571562871</v>
      </c>
      <c r="E51">
        <v>20631727.133404478</v>
      </c>
      <c r="F51">
        <v>7008543161.7177572</v>
      </c>
      <c r="G51">
        <v>21</v>
      </c>
      <c r="H51">
        <v>13.8</v>
      </c>
      <c r="I51">
        <v>2899.167930882581</v>
      </c>
    </row>
    <row r="52" spans="1:9" x14ac:dyDescent="0.25">
      <c r="A52">
        <v>51</v>
      </c>
      <c r="B52" t="s">
        <v>74</v>
      </c>
      <c r="C52">
        <v>10.65533158550728</v>
      </c>
      <c r="D52">
        <v>18697496.313486591</v>
      </c>
      <c r="E52">
        <v>34974881.873831332</v>
      </c>
      <c r="F52">
        <v>9801404163.8305111</v>
      </c>
      <c r="G52">
        <v>38</v>
      </c>
      <c r="H52">
        <v>16</v>
      </c>
      <c r="I52">
        <v>2634.4210859359928</v>
      </c>
    </row>
    <row r="53" spans="1:9" x14ac:dyDescent="0.25">
      <c r="A53">
        <v>52</v>
      </c>
      <c r="B53" t="s">
        <v>75</v>
      </c>
      <c r="C53">
        <v>11.192635922912091</v>
      </c>
      <c r="D53">
        <v>6826901.3139114771</v>
      </c>
      <c r="E53">
        <v>83258796.981701732</v>
      </c>
      <c r="F53">
        <v>11658347227.432261</v>
      </c>
      <c r="G53">
        <v>45</v>
      </c>
      <c r="H53">
        <v>16.100000000000001</v>
      </c>
      <c r="I53">
        <v>2389.945816398958</v>
      </c>
    </row>
    <row r="54" spans="1:9" x14ac:dyDescent="0.25">
      <c r="A54">
        <v>53</v>
      </c>
      <c r="B54" t="s">
        <v>76</v>
      </c>
      <c r="C54">
        <v>7.8987271443688627</v>
      </c>
      <c r="D54">
        <v>83659755.253905505</v>
      </c>
      <c r="E54">
        <v>657704.2722764085</v>
      </c>
      <c r="F54">
        <v>2965151882.7246022</v>
      </c>
      <c r="G54">
        <v>18</v>
      </c>
      <c r="H54">
        <v>12.7</v>
      </c>
      <c r="I54">
        <v>2981.6987023432312</v>
      </c>
    </row>
    <row r="55" spans="1:9" x14ac:dyDescent="0.25">
      <c r="A55">
        <v>54</v>
      </c>
      <c r="B55" t="s">
        <v>77</v>
      </c>
      <c r="C55">
        <v>8.3497148951105942</v>
      </c>
      <c r="D55">
        <v>38154783.534189627</v>
      </c>
      <c r="E55">
        <v>13416008.734613581</v>
      </c>
      <c r="F55">
        <v>8263879172.1757374</v>
      </c>
      <c r="G55">
        <v>20</v>
      </c>
      <c r="H55">
        <v>14.6</v>
      </c>
      <c r="I55">
        <v>2861.2442302430618</v>
      </c>
    </row>
    <row r="56" spans="1:9" x14ac:dyDescent="0.25">
      <c r="A56">
        <v>55</v>
      </c>
      <c r="B56" t="s">
        <v>78</v>
      </c>
      <c r="C56">
        <v>10.40821426005925</v>
      </c>
      <c r="D56">
        <v>16592957.24099583</v>
      </c>
      <c r="E56">
        <v>32466349.7425984</v>
      </c>
      <c r="F56">
        <v>10700219105.252171</v>
      </c>
      <c r="G56">
        <v>36</v>
      </c>
      <c r="H56">
        <v>16.100000000000001</v>
      </c>
      <c r="I56">
        <v>2634.2519004534238</v>
      </c>
    </row>
    <row r="57" spans="1:9" x14ac:dyDescent="0.25">
      <c r="A57">
        <v>56</v>
      </c>
      <c r="B57" t="s">
        <v>79</v>
      </c>
      <c r="C57">
        <v>11.242995759569689</v>
      </c>
      <c r="D57">
        <v>4644767.2969188206</v>
      </c>
      <c r="E57">
        <v>80630800.566206127</v>
      </c>
      <c r="F57">
        <v>12489362576.91301</v>
      </c>
      <c r="G57">
        <v>42</v>
      </c>
      <c r="H57">
        <v>15.1</v>
      </c>
      <c r="I57">
        <v>2245.7124251645391</v>
      </c>
    </row>
    <row r="58" spans="1:9" x14ac:dyDescent="0.25">
      <c r="A58">
        <v>57</v>
      </c>
      <c r="B58" t="s">
        <v>80</v>
      </c>
      <c r="C58">
        <v>10.368236007747701</v>
      </c>
      <c r="D58">
        <v>84107445.49838227</v>
      </c>
      <c r="E58">
        <v>1157357.124469297</v>
      </c>
      <c r="F58">
        <v>2236052215.191627</v>
      </c>
      <c r="G58">
        <v>19</v>
      </c>
      <c r="H58">
        <v>12.4</v>
      </c>
      <c r="I58">
        <v>2781.91752741748</v>
      </c>
    </row>
    <row r="59" spans="1:9" x14ac:dyDescent="0.25">
      <c r="A59">
        <v>58</v>
      </c>
      <c r="B59" t="s">
        <v>81</v>
      </c>
      <c r="C59">
        <v>10.69458407167301</v>
      </c>
      <c r="D59">
        <v>44013436.075619653</v>
      </c>
      <c r="E59">
        <v>20458341.471771311</v>
      </c>
      <c r="F59">
        <v>6997073526.3676243</v>
      </c>
      <c r="G59">
        <v>21</v>
      </c>
      <c r="H59">
        <v>13.6</v>
      </c>
      <c r="I59">
        <v>2696.744360275748</v>
      </c>
    </row>
    <row r="60" spans="1:9" x14ac:dyDescent="0.25">
      <c r="A60">
        <v>59</v>
      </c>
      <c r="B60" t="s">
        <v>82</v>
      </c>
      <c r="C60">
        <v>13.73184734784923</v>
      </c>
      <c r="D60">
        <v>18659922.27905836</v>
      </c>
      <c r="E60">
        <v>34377239.368859202</v>
      </c>
      <c r="F60">
        <v>9682985036.9233799</v>
      </c>
      <c r="G60">
        <v>37</v>
      </c>
      <c r="H60">
        <v>16.8</v>
      </c>
      <c r="I60">
        <v>2362.3739909305018</v>
      </c>
    </row>
    <row r="61" spans="1:9" x14ac:dyDescent="0.25">
      <c r="A61">
        <v>60</v>
      </c>
      <c r="B61" t="s">
        <v>83</v>
      </c>
      <c r="C61">
        <v>17.270402042262418</v>
      </c>
      <c r="D61">
        <v>6798829.2748433156</v>
      </c>
      <c r="E61">
        <v>82455054.835405588</v>
      </c>
      <c r="F61">
        <v>11383534186.21336</v>
      </c>
      <c r="G61">
        <v>43</v>
      </c>
      <c r="H61">
        <v>16.7</v>
      </c>
      <c r="I61">
        <v>1990.3633482965961</v>
      </c>
    </row>
    <row r="62" spans="1:9" x14ac:dyDescent="0.25">
      <c r="A62">
        <v>61</v>
      </c>
      <c r="B62" t="s">
        <v>84</v>
      </c>
      <c r="C62">
        <v>10.27211419480594</v>
      </c>
      <c r="D62">
        <v>83641978.278080627</v>
      </c>
      <c r="E62">
        <v>634764.13662415254</v>
      </c>
      <c r="F62">
        <v>2972057113.2091508</v>
      </c>
      <c r="G62">
        <v>18</v>
      </c>
      <c r="H62">
        <v>12.4</v>
      </c>
      <c r="I62">
        <v>2796.7486277063908</v>
      </c>
    </row>
    <row r="63" spans="1:9" x14ac:dyDescent="0.25">
      <c r="A63">
        <v>62</v>
      </c>
      <c r="B63" t="s">
        <v>85</v>
      </c>
      <c r="C63">
        <v>10.55071956620934</v>
      </c>
      <c r="D63">
        <v>38135819.108568273</v>
      </c>
      <c r="E63">
        <v>13319083.22801125</v>
      </c>
      <c r="F63">
        <v>8264395204.4254065</v>
      </c>
      <c r="G63">
        <v>20</v>
      </c>
      <c r="H63">
        <v>14.6</v>
      </c>
      <c r="I63">
        <v>2671.0693015533279</v>
      </c>
    </row>
    <row r="64" spans="1:9" x14ac:dyDescent="0.25">
      <c r="A64">
        <v>63</v>
      </c>
      <c r="B64" t="s">
        <v>86</v>
      </c>
      <c r="C64">
        <v>13.18980264142607</v>
      </c>
      <c r="D64">
        <v>16557683.40309288</v>
      </c>
      <c r="E64">
        <v>31945369.320299741</v>
      </c>
      <c r="F64">
        <v>10612867910.907471</v>
      </c>
      <c r="G64">
        <v>34</v>
      </c>
      <c r="H64">
        <v>16.899999999999999</v>
      </c>
      <c r="I64">
        <v>2386.054769682692</v>
      </c>
    </row>
    <row r="65" spans="1:9" x14ac:dyDescent="0.25">
      <c r="A65">
        <v>64</v>
      </c>
      <c r="B65" t="s">
        <v>87</v>
      </c>
      <c r="C65">
        <v>17.52320135607296</v>
      </c>
      <c r="D65">
        <v>4640286.5078578349</v>
      </c>
      <c r="E65">
        <v>79935054.729464576</v>
      </c>
      <c r="F65">
        <v>12201290303.78137</v>
      </c>
      <c r="G65">
        <v>39</v>
      </c>
      <c r="H65">
        <v>15.5</v>
      </c>
      <c r="I65">
        <v>1844.268255621166</v>
      </c>
    </row>
    <row r="66" spans="1:9" x14ac:dyDescent="0.25">
      <c r="A66">
        <v>65</v>
      </c>
      <c r="B66" t="s">
        <v>88</v>
      </c>
      <c r="C66">
        <v>9.5574967567461329</v>
      </c>
      <c r="D66">
        <v>84187918.15702495</v>
      </c>
      <c r="E66">
        <v>1222302.0238140151</v>
      </c>
      <c r="F66">
        <v>1744957731.813566</v>
      </c>
      <c r="G66">
        <v>18</v>
      </c>
      <c r="H66">
        <v>14.4</v>
      </c>
      <c r="I66">
        <v>2120.9230400832921</v>
      </c>
    </row>
    <row r="67" spans="1:9" x14ac:dyDescent="0.25">
      <c r="A67">
        <v>66</v>
      </c>
      <c r="B67" t="s">
        <v>89</v>
      </c>
      <c r="C67">
        <v>10.430603250240519</v>
      </c>
      <c r="D67">
        <v>44091776.263516553</v>
      </c>
      <c r="E67">
        <v>20601791.24090381</v>
      </c>
      <c r="F67">
        <v>6497549136.7163534</v>
      </c>
      <c r="G67">
        <v>23</v>
      </c>
      <c r="H67">
        <v>14.8</v>
      </c>
      <c r="I67">
        <v>2061.7505233241632</v>
      </c>
    </row>
    <row r="68" spans="1:9" x14ac:dyDescent="0.25">
      <c r="A68">
        <v>67</v>
      </c>
      <c r="B68" t="s">
        <v>90</v>
      </c>
      <c r="C68">
        <v>11.96861834193979</v>
      </c>
      <c r="D68">
        <v>18770399.73635279</v>
      </c>
      <c r="E68">
        <v>35178367.107151091</v>
      </c>
      <c r="F68">
        <v>9405795708.5274506</v>
      </c>
      <c r="G68">
        <v>30</v>
      </c>
      <c r="H68">
        <v>15.1</v>
      </c>
      <c r="I68">
        <v>1982.9929669817229</v>
      </c>
    </row>
    <row r="69" spans="1:9" x14ac:dyDescent="0.25">
      <c r="A69">
        <v>68</v>
      </c>
      <c r="B69" t="s">
        <v>91</v>
      </c>
      <c r="C69">
        <v>13.366097118231121</v>
      </c>
      <c r="D69">
        <v>6896147.0029839836</v>
      </c>
      <c r="E69">
        <v>83451652.250753805</v>
      </c>
      <c r="F69">
        <v>11291417692.48992</v>
      </c>
      <c r="G69">
        <v>36</v>
      </c>
      <c r="H69">
        <v>15</v>
      </c>
      <c r="I69">
        <v>1909.966944241658</v>
      </c>
    </row>
    <row r="70" spans="1:9" x14ac:dyDescent="0.25">
      <c r="A70">
        <v>69</v>
      </c>
      <c r="B70" t="s">
        <v>92</v>
      </c>
      <c r="C70">
        <v>9.4878769923712838</v>
      </c>
      <c r="D70">
        <v>83721645.383554474</v>
      </c>
      <c r="E70">
        <v>670046.47421825514</v>
      </c>
      <c r="F70">
        <v>2468097858.2283301</v>
      </c>
      <c r="G70">
        <v>18</v>
      </c>
      <c r="H70">
        <v>14.4</v>
      </c>
      <c r="I70">
        <v>2125.6564480988382</v>
      </c>
    </row>
    <row r="71" spans="1:9" x14ac:dyDescent="0.25">
      <c r="A71">
        <v>70</v>
      </c>
      <c r="B71" t="s">
        <v>93</v>
      </c>
      <c r="C71">
        <v>9.8275205090793918</v>
      </c>
      <c r="D71">
        <v>38208663.155465543</v>
      </c>
      <c r="E71">
        <v>13418407.60208088</v>
      </c>
      <c r="F71">
        <v>7804309868.3474941</v>
      </c>
      <c r="G71">
        <v>20</v>
      </c>
      <c r="H71">
        <v>14.9</v>
      </c>
      <c r="I71">
        <v>2095.7351753337871</v>
      </c>
    </row>
    <row r="72" spans="1:9" x14ac:dyDescent="0.25">
      <c r="A72">
        <v>71</v>
      </c>
      <c r="B72" t="s">
        <v>94</v>
      </c>
      <c r="C72">
        <v>11.62307366450308</v>
      </c>
      <c r="D72">
        <v>16660535.82506237</v>
      </c>
      <c r="E72">
        <v>32650059.328368459</v>
      </c>
      <c r="F72">
        <v>10315947169.20936</v>
      </c>
      <c r="G72">
        <v>28</v>
      </c>
      <c r="H72">
        <v>15.2</v>
      </c>
      <c r="I72">
        <v>1996.8048096965449</v>
      </c>
    </row>
    <row r="73" spans="1:9" x14ac:dyDescent="0.25">
      <c r="A73">
        <v>72</v>
      </c>
      <c r="B73" t="s">
        <v>95</v>
      </c>
      <c r="C73">
        <v>12.9027116104056</v>
      </c>
      <c r="D73">
        <v>4692397.7302349266</v>
      </c>
      <c r="E73">
        <v>80780601.911754876</v>
      </c>
      <c r="F73">
        <v>12207921523.16597</v>
      </c>
      <c r="G73">
        <v>34</v>
      </c>
      <c r="H73">
        <v>15</v>
      </c>
      <c r="I73">
        <v>1918.948634882483</v>
      </c>
    </row>
    <row r="74" spans="1:9" x14ac:dyDescent="0.25">
      <c r="A74">
        <v>73</v>
      </c>
      <c r="B74" t="s">
        <v>96</v>
      </c>
      <c r="C74">
        <v>11.62096956368072</v>
      </c>
      <c r="D74">
        <v>84176637.777597904</v>
      </c>
      <c r="E74">
        <v>1192434.967716987</v>
      </c>
      <c r="F74">
        <v>1785163760.2714779</v>
      </c>
      <c r="G74">
        <v>18</v>
      </c>
      <c r="H74">
        <v>14.3</v>
      </c>
      <c r="I74">
        <v>1956.1945667397999</v>
      </c>
    </row>
    <row r="75" spans="1:9" x14ac:dyDescent="0.25">
      <c r="A75">
        <v>74</v>
      </c>
      <c r="B75" t="s">
        <v>97</v>
      </c>
      <c r="C75">
        <v>13.11218466710085</v>
      </c>
      <c r="D75">
        <v>44082261.627457187</v>
      </c>
      <c r="E75">
        <v>20399795.037284382</v>
      </c>
      <c r="F75">
        <v>6458073854.9166164</v>
      </c>
      <c r="G75">
        <v>23</v>
      </c>
      <c r="H75">
        <v>14.7</v>
      </c>
      <c r="I75">
        <v>1880.2096865559381</v>
      </c>
    </row>
    <row r="76" spans="1:9" x14ac:dyDescent="0.25">
      <c r="A76">
        <v>75</v>
      </c>
      <c r="B76" t="s">
        <v>98</v>
      </c>
      <c r="C76">
        <v>17.78955423093619</v>
      </c>
      <c r="D76">
        <v>18765069.29408377</v>
      </c>
      <c r="E76">
        <v>34767095.148315087</v>
      </c>
      <c r="F76">
        <v>9290934321.8556709</v>
      </c>
      <c r="G76">
        <v>29</v>
      </c>
      <c r="H76">
        <v>15.1</v>
      </c>
      <c r="I76">
        <v>1736.569234193038</v>
      </c>
    </row>
    <row r="77" spans="1:9" x14ac:dyDescent="0.25">
      <c r="A77">
        <v>76</v>
      </c>
      <c r="B77" t="s">
        <v>99</v>
      </c>
      <c r="C77">
        <v>23.2370922249677</v>
      </c>
      <c r="D77">
        <v>6892193.1476503909</v>
      </c>
      <c r="E77">
        <v>82840428.435545281</v>
      </c>
      <c r="F77">
        <v>11090313507.1917</v>
      </c>
      <c r="G77">
        <v>35</v>
      </c>
      <c r="H77">
        <v>15.2</v>
      </c>
      <c r="I77">
        <v>1585.409143399289</v>
      </c>
    </row>
    <row r="78" spans="1:9" x14ac:dyDescent="0.25">
      <c r="A78">
        <v>77</v>
      </c>
      <c r="B78" t="s">
        <v>100</v>
      </c>
      <c r="C78">
        <v>11.4357392342566</v>
      </c>
      <c r="D78">
        <v>83710602.935941756</v>
      </c>
      <c r="E78">
        <v>657295.07487557898</v>
      </c>
      <c r="F78">
        <v>2511926960.3720918</v>
      </c>
      <c r="G78">
        <v>18</v>
      </c>
      <c r="H78">
        <v>14.3</v>
      </c>
      <c r="I78">
        <v>1963.848444743074</v>
      </c>
    </row>
    <row r="79" spans="1:9" x14ac:dyDescent="0.25">
      <c r="A79">
        <v>78</v>
      </c>
      <c r="B79" t="s">
        <v>101</v>
      </c>
      <c r="C79">
        <v>11.817339260383759</v>
      </c>
      <c r="D79">
        <v>38202811.28745725</v>
      </c>
      <c r="E79">
        <v>13321630.114858091</v>
      </c>
      <c r="F79">
        <v>7819957648.5294323</v>
      </c>
      <c r="G79">
        <v>20</v>
      </c>
      <c r="H79">
        <v>14.8</v>
      </c>
      <c r="I79">
        <v>1929.272422977273</v>
      </c>
    </row>
    <row r="80" spans="1:9" x14ac:dyDescent="0.25">
      <c r="A80">
        <v>79</v>
      </c>
      <c r="B80" t="s">
        <v>102</v>
      </c>
      <c r="C80">
        <v>15.77112787776808</v>
      </c>
      <c r="D80">
        <v>16657780.458528919</v>
      </c>
      <c r="E80">
        <v>32305152.17354054</v>
      </c>
      <c r="F80">
        <v>10230927704.12616</v>
      </c>
      <c r="G80">
        <v>27</v>
      </c>
      <c r="H80">
        <v>15</v>
      </c>
      <c r="I80">
        <v>1780.1508690682331</v>
      </c>
    </row>
    <row r="81" spans="1:9" x14ac:dyDescent="0.25">
      <c r="A81">
        <v>80</v>
      </c>
      <c r="B81" t="s">
        <v>103</v>
      </c>
      <c r="C81">
        <v>21.533236313204672</v>
      </c>
      <c r="D81">
        <v>4692182.6163634062</v>
      </c>
      <c r="E81">
        <v>80228177.747460589</v>
      </c>
      <c r="F81">
        <v>12030717108.455669</v>
      </c>
      <c r="G81">
        <v>33</v>
      </c>
      <c r="H81">
        <v>15.1</v>
      </c>
      <c r="I81">
        <v>1610.5079311946811</v>
      </c>
    </row>
    <row r="82" spans="1:9" x14ac:dyDescent="0.25">
      <c r="A82">
        <v>81</v>
      </c>
      <c r="B82" t="s">
        <v>104</v>
      </c>
      <c r="C82">
        <v>9.5367311351382114</v>
      </c>
      <c r="D82">
        <v>84187938.546300024</v>
      </c>
      <c r="E82">
        <v>1227957.9770354771</v>
      </c>
      <c r="F82">
        <v>1748407771.1533239</v>
      </c>
      <c r="G82">
        <v>18</v>
      </c>
      <c r="H82">
        <v>14.4</v>
      </c>
      <c r="I82">
        <v>2123.489103714579</v>
      </c>
    </row>
    <row r="83" spans="1:9" x14ac:dyDescent="0.25">
      <c r="A83">
        <v>82</v>
      </c>
      <c r="B83" t="s">
        <v>105</v>
      </c>
      <c r="C83">
        <v>9.6385907756016707</v>
      </c>
      <c r="D83">
        <v>44093663.452162489</v>
      </c>
      <c r="E83">
        <v>20695719.283303931</v>
      </c>
      <c r="F83">
        <v>6553324902.3346663</v>
      </c>
      <c r="G83">
        <v>19</v>
      </c>
      <c r="H83">
        <v>14.7</v>
      </c>
      <c r="I83">
        <v>2112.166790817424</v>
      </c>
    </row>
    <row r="84" spans="1:9" x14ac:dyDescent="0.25">
      <c r="A84">
        <v>83</v>
      </c>
      <c r="B84" t="s">
        <v>106</v>
      </c>
      <c r="C84">
        <v>11.500238027005279</v>
      </c>
      <c r="D84">
        <v>18768686.015018661</v>
      </c>
      <c r="E84">
        <v>35233618.327111863</v>
      </c>
      <c r="F84">
        <v>9439915435.4232063</v>
      </c>
      <c r="G84">
        <v>27</v>
      </c>
      <c r="H84">
        <v>15.2</v>
      </c>
      <c r="I84">
        <v>2005.644542802175</v>
      </c>
    </row>
    <row r="85" spans="1:9" x14ac:dyDescent="0.25">
      <c r="A85">
        <v>84</v>
      </c>
      <c r="B85" t="s">
        <v>107</v>
      </c>
      <c r="C85">
        <v>12.04722921539496</v>
      </c>
      <c r="D85">
        <v>6895410.2211737419</v>
      </c>
      <c r="E85">
        <v>83550463.478357136</v>
      </c>
      <c r="F85">
        <v>11365157836.727301</v>
      </c>
      <c r="G85">
        <v>32</v>
      </c>
      <c r="H85">
        <v>15.1</v>
      </c>
      <c r="I85">
        <v>1952.1241461374459</v>
      </c>
    </row>
    <row r="86" spans="1:9" x14ac:dyDescent="0.25">
      <c r="A86">
        <v>85</v>
      </c>
      <c r="B86" t="s">
        <v>108</v>
      </c>
      <c r="C86">
        <v>9.4867037081849901</v>
      </c>
      <c r="D86">
        <v>83721661.180975243</v>
      </c>
      <c r="E86">
        <v>671603.77474682394</v>
      </c>
      <c r="F86">
        <v>2469289473.2905312</v>
      </c>
      <c r="G86">
        <v>18</v>
      </c>
      <c r="H86">
        <v>14.4</v>
      </c>
      <c r="I86">
        <v>2126.3366201375452</v>
      </c>
    </row>
    <row r="87" spans="1:9" x14ac:dyDescent="0.25">
      <c r="A87">
        <v>86</v>
      </c>
      <c r="B87" t="s">
        <v>109</v>
      </c>
      <c r="C87">
        <v>9.563601377569583</v>
      </c>
      <c r="D87">
        <v>38209712.833524257</v>
      </c>
      <c r="E87">
        <v>13451667.37118331</v>
      </c>
      <c r="F87">
        <v>7823801354.8004417</v>
      </c>
      <c r="G87">
        <v>18</v>
      </c>
      <c r="H87">
        <v>14.8</v>
      </c>
      <c r="I87">
        <v>2114.899225917035</v>
      </c>
    </row>
    <row r="88" spans="1:9" x14ac:dyDescent="0.25">
      <c r="A88">
        <v>87</v>
      </c>
      <c r="B88" t="s">
        <v>110</v>
      </c>
      <c r="C88">
        <v>11.15902358208743</v>
      </c>
      <c r="D88">
        <v>16660873.53334035</v>
      </c>
      <c r="E88">
        <v>32686481.980103102</v>
      </c>
      <c r="F88">
        <v>10336364244.33832</v>
      </c>
      <c r="G88">
        <v>26</v>
      </c>
      <c r="H88">
        <v>15.2</v>
      </c>
      <c r="I88">
        <v>2014.9515725495619</v>
      </c>
    </row>
    <row r="89" spans="1:9" x14ac:dyDescent="0.25">
      <c r="A89">
        <v>88</v>
      </c>
      <c r="B89" t="s">
        <v>111</v>
      </c>
      <c r="C89">
        <v>11.93219037266101</v>
      </c>
      <c r="D89">
        <v>4693283.8206288489</v>
      </c>
      <c r="E89">
        <v>80855291.559364095</v>
      </c>
      <c r="F89">
        <v>12259899324.518841</v>
      </c>
      <c r="G89">
        <v>31</v>
      </c>
      <c r="H89">
        <v>15.2</v>
      </c>
      <c r="I89">
        <v>1951.2818147570999</v>
      </c>
    </row>
    <row r="90" spans="1:9" x14ac:dyDescent="0.25">
      <c r="A90">
        <v>89</v>
      </c>
      <c r="B90" t="s">
        <v>112</v>
      </c>
      <c r="C90">
        <v>11.5811430871931</v>
      </c>
      <c r="D90">
        <v>84176840.953707814</v>
      </c>
      <c r="E90">
        <v>1201952.543431177</v>
      </c>
      <c r="F90">
        <v>1789570143.145539</v>
      </c>
      <c r="G90">
        <v>18</v>
      </c>
      <c r="H90">
        <v>14.3</v>
      </c>
      <c r="I90">
        <v>1958.7616029290809</v>
      </c>
    </row>
    <row r="91" spans="1:9" x14ac:dyDescent="0.25">
      <c r="A91">
        <v>90</v>
      </c>
      <c r="B91" t="s">
        <v>113</v>
      </c>
      <c r="C91">
        <v>11.69888374486743</v>
      </c>
      <c r="D91">
        <v>44085082.135709837</v>
      </c>
      <c r="E91">
        <v>20572550.911844429</v>
      </c>
      <c r="F91">
        <v>6579054811.9833889</v>
      </c>
      <c r="G91">
        <v>19</v>
      </c>
      <c r="H91">
        <v>14.8</v>
      </c>
      <c r="I91">
        <v>1945.6780660585409</v>
      </c>
    </row>
    <row r="92" spans="1:9" x14ac:dyDescent="0.25">
      <c r="A92">
        <v>91</v>
      </c>
      <c r="B92" t="s">
        <v>114</v>
      </c>
      <c r="C92">
        <v>15.37850276335908</v>
      </c>
      <c r="D92">
        <v>18765953.171758469</v>
      </c>
      <c r="E92">
        <v>34867574.58216083</v>
      </c>
      <c r="F92">
        <v>9357680424.8804092</v>
      </c>
      <c r="G92">
        <v>26</v>
      </c>
      <c r="H92">
        <v>14.9</v>
      </c>
      <c r="I92">
        <v>1795.8954692075599</v>
      </c>
    </row>
    <row r="93" spans="1:9" x14ac:dyDescent="0.25">
      <c r="A93">
        <v>92</v>
      </c>
      <c r="B93" t="s">
        <v>115</v>
      </c>
      <c r="C93">
        <v>19.018075202569729</v>
      </c>
      <c r="D93">
        <v>6891827.3829141874</v>
      </c>
      <c r="E93">
        <v>83024748.5105059</v>
      </c>
      <c r="F93">
        <v>11212367797.617929</v>
      </c>
      <c r="G93">
        <v>30</v>
      </c>
      <c r="H93">
        <v>15.2</v>
      </c>
      <c r="I93">
        <v>1677.317053908477</v>
      </c>
    </row>
    <row r="94" spans="1:9" x14ac:dyDescent="0.25">
      <c r="A94">
        <v>93</v>
      </c>
      <c r="B94" t="s">
        <v>116</v>
      </c>
      <c r="C94">
        <v>11.41947575332887</v>
      </c>
      <c r="D94">
        <v>83710541.444960445</v>
      </c>
      <c r="E94">
        <v>659950.71052388824</v>
      </c>
      <c r="F94">
        <v>2513232960.3999438</v>
      </c>
      <c r="G94">
        <v>18</v>
      </c>
      <c r="H94">
        <v>14.3</v>
      </c>
      <c r="I94">
        <v>1965.1872941287099</v>
      </c>
    </row>
    <row r="95" spans="1:9" x14ac:dyDescent="0.25">
      <c r="A95">
        <v>94</v>
      </c>
      <c r="B95" t="s">
        <v>117</v>
      </c>
      <c r="C95">
        <v>11.59352166734033</v>
      </c>
      <c r="D95">
        <v>38203633.531947993</v>
      </c>
      <c r="E95">
        <v>13383069.77801591</v>
      </c>
      <c r="F95">
        <v>7859687166.3075237</v>
      </c>
      <c r="G95">
        <v>18</v>
      </c>
      <c r="H95">
        <v>14.8</v>
      </c>
      <c r="I95">
        <v>1949.787016216259</v>
      </c>
    </row>
    <row r="96" spans="1:9" x14ac:dyDescent="0.25">
      <c r="A96">
        <v>95</v>
      </c>
      <c r="B96" t="s">
        <v>118</v>
      </c>
      <c r="C96">
        <v>14.540548541461581</v>
      </c>
      <c r="D96">
        <v>16658255.492041061</v>
      </c>
      <c r="E96">
        <v>32371430.5590389</v>
      </c>
      <c r="F96">
        <v>10275343440.853331</v>
      </c>
      <c r="G96">
        <v>25</v>
      </c>
      <c r="H96">
        <v>14.9</v>
      </c>
      <c r="I96">
        <v>1820.466789314775</v>
      </c>
    </row>
    <row r="97" spans="1:9" x14ac:dyDescent="0.25">
      <c r="A97">
        <v>96</v>
      </c>
      <c r="B97" t="s">
        <v>119</v>
      </c>
      <c r="C97">
        <v>18.54010629340371</v>
      </c>
      <c r="D97">
        <v>4691670.851407052</v>
      </c>
      <c r="E97">
        <v>80362226.657325119</v>
      </c>
      <c r="F97">
        <v>12118154515.53997</v>
      </c>
      <c r="G97">
        <v>30</v>
      </c>
      <c r="H97">
        <v>14.9</v>
      </c>
      <c r="I97">
        <v>1681.7480195618091</v>
      </c>
    </row>
    <row r="98" spans="1:9" x14ac:dyDescent="0.25">
      <c r="A98">
        <v>97</v>
      </c>
      <c r="B98" t="s">
        <v>120</v>
      </c>
      <c r="C98">
        <v>9.5571843917757917</v>
      </c>
      <c r="D98">
        <v>84187701.629947782</v>
      </c>
      <c r="E98">
        <v>1214366.1783409039</v>
      </c>
      <c r="F98">
        <v>1740844794.2437539</v>
      </c>
      <c r="G98">
        <v>19</v>
      </c>
      <c r="H98">
        <v>14.4</v>
      </c>
      <c r="I98">
        <v>2116.6868352029719</v>
      </c>
    </row>
    <row r="99" spans="1:9" x14ac:dyDescent="0.25">
      <c r="A99">
        <v>98</v>
      </c>
      <c r="B99" t="s">
        <v>121</v>
      </c>
      <c r="C99">
        <v>10.50778967924529</v>
      </c>
      <c r="D99">
        <v>44090321.895444028</v>
      </c>
      <c r="E99">
        <v>20537949.867657792</v>
      </c>
      <c r="F99">
        <v>6482222367.6407557</v>
      </c>
      <c r="G99">
        <v>26</v>
      </c>
      <c r="H99">
        <v>14.8</v>
      </c>
      <c r="I99">
        <v>2036.3380481438901</v>
      </c>
    </row>
    <row r="100" spans="1:9" x14ac:dyDescent="0.25">
      <c r="A100">
        <v>99</v>
      </c>
      <c r="B100" t="s">
        <v>122</v>
      </c>
      <c r="C100">
        <v>12.02029866766669</v>
      </c>
      <c r="D100">
        <v>18768066.941739529</v>
      </c>
      <c r="E100">
        <v>35045014.670255817</v>
      </c>
      <c r="F100">
        <v>9381168197.9026775</v>
      </c>
      <c r="G100">
        <v>36</v>
      </c>
      <c r="H100">
        <v>15.1</v>
      </c>
      <c r="I100">
        <v>1941.006366596913</v>
      </c>
    </row>
    <row r="101" spans="1:9" x14ac:dyDescent="0.25">
      <c r="A101">
        <v>100</v>
      </c>
      <c r="B101" t="s">
        <v>123</v>
      </c>
      <c r="C101">
        <v>13.447485977192899</v>
      </c>
      <c r="D101">
        <v>6893503.8764163516</v>
      </c>
      <c r="E101">
        <v>83258563.083960429</v>
      </c>
      <c r="F101">
        <v>11253162275.97924</v>
      </c>
      <c r="G101">
        <v>45</v>
      </c>
      <c r="H101">
        <v>14.8</v>
      </c>
      <c r="I101">
        <v>1856.5213251150419</v>
      </c>
    </row>
    <row r="102" spans="1:9" x14ac:dyDescent="0.25">
      <c r="A102">
        <v>101</v>
      </c>
      <c r="B102" t="s">
        <v>124</v>
      </c>
      <c r="C102">
        <v>9.4882352113694708</v>
      </c>
      <c r="D102">
        <v>83721527.109570071</v>
      </c>
      <c r="E102">
        <v>667925.61516336259</v>
      </c>
      <c r="F102">
        <v>2466710471.44663</v>
      </c>
      <c r="G102">
        <v>18</v>
      </c>
      <c r="H102">
        <v>14.4</v>
      </c>
      <c r="I102">
        <v>2124.7364546068429</v>
      </c>
    </row>
    <row r="103" spans="1:9" x14ac:dyDescent="0.25">
      <c r="A103">
        <v>102</v>
      </c>
      <c r="B103" t="s">
        <v>125</v>
      </c>
      <c r="C103">
        <v>9.8768312287096904</v>
      </c>
      <c r="D103">
        <v>38207410.5690488</v>
      </c>
      <c r="E103">
        <v>13389726.436165961</v>
      </c>
      <c r="F103">
        <v>7793861021.5330334</v>
      </c>
      <c r="G103">
        <v>21</v>
      </c>
      <c r="H103">
        <v>14.9</v>
      </c>
      <c r="I103">
        <v>2080.7084328187889</v>
      </c>
    </row>
    <row r="104" spans="1:9" x14ac:dyDescent="0.25">
      <c r="A104">
        <v>103</v>
      </c>
      <c r="B104" t="s">
        <v>126</v>
      </c>
      <c r="C104">
        <v>11.66781844397941</v>
      </c>
      <c r="D104">
        <v>16661212.386478379</v>
      </c>
      <c r="E104">
        <v>32534971.78835145</v>
      </c>
      <c r="F104">
        <v>10293772145.075371</v>
      </c>
      <c r="G104">
        <v>33</v>
      </c>
      <c r="H104">
        <v>15.1</v>
      </c>
      <c r="I104">
        <v>1959.3671642781001</v>
      </c>
    </row>
    <row r="105" spans="1:9" x14ac:dyDescent="0.25">
      <c r="A105">
        <v>104</v>
      </c>
      <c r="B105" t="s">
        <v>127</v>
      </c>
      <c r="C105">
        <v>12.92698881859943</v>
      </c>
      <c r="D105">
        <v>4692697.6391077098</v>
      </c>
      <c r="E105">
        <v>80603286.758514032</v>
      </c>
      <c r="F105">
        <v>12168180198.743311</v>
      </c>
      <c r="G105">
        <v>43</v>
      </c>
      <c r="H105">
        <v>14.8</v>
      </c>
      <c r="I105">
        <v>1867.582593229703</v>
      </c>
    </row>
    <row r="106" spans="1:9" x14ac:dyDescent="0.25">
      <c r="A106">
        <v>105</v>
      </c>
      <c r="B106" t="s">
        <v>128</v>
      </c>
      <c r="C106">
        <v>11.62086301028619</v>
      </c>
      <c r="D106">
        <v>84176146.039378405</v>
      </c>
      <c r="E106">
        <v>1176121.2339595209</v>
      </c>
      <c r="F106">
        <v>1779267557.949003</v>
      </c>
      <c r="G106">
        <v>19</v>
      </c>
      <c r="H106">
        <v>14.3</v>
      </c>
      <c r="I106">
        <v>1950.826376336455</v>
      </c>
    </row>
    <row r="107" spans="1:9" x14ac:dyDescent="0.25">
      <c r="A107">
        <v>106</v>
      </c>
      <c r="B107" t="s">
        <v>129</v>
      </c>
      <c r="C107">
        <v>13.39154082917069</v>
      </c>
      <c r="D107">
        <v>44080506.217525318</v>
      </c>
      <c r="E107">
        <v>20274430.74957265</v>
      </c>
      <c r="F107">
        <v>6432471638.0363665</v>
      </c>
      <c r="G107">
        <v>26</v>
      </c>
      <c r="H107">
        <v>14.5</v>
      </c>
      <c r="I107">
        <v>1842.720895011219</v>
      </c>
    </row>
    <row r="108" spans="1:9" x14ac:dyDescent="0.25">
      <c r="A108">
        <v>107</v>
      </c>
      <c r="B108" t="s">
        <v>130</v>
      </c>
      <c r="C108">
        <v>19.842894416577881</v>
      </c>
      <c r="D108">
        <v>18758983.496455941</v>
      </c>
      <c r="E108">
        <v>34501097.327303924</v>
      </c>
      <c r="F108">
        <v>9225674216.1875648</v>
      </c>
      <c r="G108">
        <v>35</v>
      </c>
      <c r="H108">
        <v>15.2</v>
      </c>
      <c r="I108">
        <v>1619.5718779907311</v>
      </c>
    </row>
    <row r="109" spans="1:9" x14ac:dyDescent="0.25">
      <c r="A109">
        <v>108</v>
      </c>
      <c r="B109" t="s">
        <v>131</v>
      </c>
      <c r="C109">
        <v>24.784672246260531</v>
      </c>
      <c r="D109">
        <v>6886496.9235268552</v>
      </c>
      <c r="E109">
        <v>82463901.969826281</v>
      </c>
      <c r="F109">
        <v>10997364188.572399</v>
      </c>
      <c r="G109">
        <v>43</v>
      </c>
      <c r="H109">
        <v>14.9</v>
      </c>
      <c r="I109">
        <v>1428.6131180165851</v>
      </c>
    </row>
    <row r="110" spans="1:9" x14ac:dyDescent="0.25">
      <c r="A110">
        <v>109</v>
      </c>
      <c r="B110" t="s">
        <v>132</v>
      </c>
      <c r="C110">
        <v>11.447164529480361</v>
      </c>
      <c r="D110">
        <v>83710548.953889057</v>
      </c>
      <c r="E110">
        <v>652691.87726466241</v>
      </c>
      <c r="F110">
        <v>2510747324.3301711</v>
      </c>
      <c r="G110">
        <v>18</v>
      </c>
      <c r="H110">
        <v>14.3</v>
      </c>
      <c r="I110">
        <v>1962.403612353181</v>
      </c>
    </row>
    <row r="111" spans="1:9" x14ac:dyDescent="0.25">
      <c r="A111">
        <v>110</v>
      </c>
      <c r="B111" t="s">
        <v>133</v>
      </c>
      <c r="C111">
        <v>11.97773729055632</v>
      </c>
      <c r="D111">
        <v>38200141.314804196</v>
      </c>
      <c r="E111">
        <v>13265272.91853348</v>
      </c>
      <c r="F111">
        <v>7800989154.2585459</v>
      </c>
      <c r="G111">
        <v>21</v>
      </c>
      <c r="H111">
        <v>14.8</v>
      </c>
      <c r="I111">
        <v>1905.6187056221579</v>
      </c>
    </row>
    <row r="112" spans="1:9" x14ac:dyDescent="0.25">
      <c r="A112">
        <v>111</v>
      </c>
      <c r="B112" t="s">
        <v>134</v>
      </c>
      <c r="C112">
        <v>17.361069852020751</v>
      </c>
      <c r="D112">
        <v>16653635.482231069</v>
      </c>
      <c r="E112">
        <v>32075646.377911732</v>
      </c>
      <c r="F112">
        <v>10170207391.31777</v>
      </c>
      <c r="G112">
        <v>32</v>
      </c>
      <c r="H112">
        <v>15.1</v>
      </c>
      <c r="I112">
        <v>1685.3017704188869</v>
      </c>
    </row>
    <row r="113" spans="1:9" x14ac:dyDescent="0.25">
      <c r="A113">
        <v>112</v>
      </c>
      <c r="B113" t="s">
        <v>135</v>
      </c>
      <c r="C113">
        <v>23.890615731531032</v>
      </c>
      <c r="D113">
        <v>4689961.8639792129</v>
      </c>
      <c r="E113">
        <v>79881213.277023047</v>
      </c>
      <c r="F113">
        <v>11937511149.41106</v>
      </c>
      <c r="G113">
        <v>41</v>
      </c>
      <c r="H113">
        <v>14.7</v>
      </c>
      <c r="I113">
        <v>1447.305028598699</v>
      </c>
    </row>
    <row r="114" spans="1:9" x14ac:dyDescent="0.25">
      <c r="A114">
        <v>113</v>
      </c>
      <c r="B114" t="s">
        <v>136</v>
      </c>
      <c r="C114">
        <v>9.537998394328838</v>
      </c>
      <c r="D114">
        <v>84187919.90383476</v>
      </c>
      <c r="E114">
        <v>1223578.858555167</v>
      </c>
      <c r="F114">
        <v>1746133632.711318</v>
      </c>
      <c r="G114">
        <v>18</v>
      </c>
      <c r="H114">
        <v>14.4</v>
      </c>
      <c r="I114">
        <v>2121.0349871887202</v>
      </c>
    </row>
    <row r="115" spans="1:9" x14ac:dyDescent="0.25">
      <c r="A115">
        <v>114</v>
      </c>
      <c r="B115" t="s">
        <v>137</v>
      </c>
      <c r="C115">
        <v>9.6963211321993725</v>
      </c>
      <c r="D115">
        <v>44092608.167280793</v>
      </c>
      <c r="E115">
        <v>20681811.558810212</v>
      </c>
      <c r="F115">
        <v>6545535149.0742865</v>
      </c>
      <c r="G115">
        <v>19</v>
      </c>
      <c r="H115">
        <v>14.8</v>
      </c>
      <c r="I115">
        <v>2100.7576504127892</v>
      </c>
    </row>
    <row r="116" spans="1:9" x14ac:dyDescent="0.25">
      <c r="A116">
        <v>115</v>
      </c>
      <c r="B116" t="s">
        <v>138</v>
      </c>
      <c r="C116">
        <v>11.62580019698345</v>
      </c>
      <c r="D116">
        <v>18769515.68728533</v>
      </c>
      <c r="E116">
        <v>35122050.851243757</v>
      </c>
      <c r="F116">
        <v>9421470974.2432613</v>
      </c>
      <c r="G116">
        <v>32</v>
      </c>
      <c r="H116">
        <v>15</v>
      </c>
      <c r="I116">
        <v>1967.611362397801</v>
      </c>
    </row>
    <row r="117" spans="1:9" x14ac:dyDescent="0.25">
      <c r="A117">
        <v>116</v>
      </c>
      <c r="B117" t="s">
        <v>139</v>
      </c>
      <c r="C117">
        <v>12.296229908035739</v>
      </c>
      <c r="D117">
        <v>6896462.8053769022</v>
      </c>
      <c r="E117">
        <v>83400549.558658779</v>
      </c>
      <c r="F117">
        <v>11322860529.558491</v>
      </c>
      <c r="G117">
        <v>39</v>
      </c>
      <c r="H117">
        <v>14.9</v>
      </c>
      <c r="I117">
        <v>1894.565925414154</v>
      </c>
    </row>
    <row r="118" spans="1:9" x14ac:dyDescent="0.25">
      <c r="A118">
        <v>117</v>
      </c>
      <c r="B118" t="s">
        <v>140</v>
      </c>
      <c r="C118">
        <v>9.4897217834702587</v>
      </c>
      <c r="D118">
        <v>83721564.345651433</v>
      </c>
      <c r="E118">
        <v>670190.98713757517</v>
      </c>
      <c r="F118">
        <v>2468242034.8544168</v>
      </c>
      <c r="G118">
        <v>18</v>
      </c>
      <c r="H118">
        <v>14.4</v>
      </c>
      <c r="I118">
        <v>2125.602120241349</v>
      </c>
    </row>
    <row r="119" spans="1:9" x14ac:dyDescent="0.25">
      <c r="A119">
        <v>118</v>
      </c>
      <c r="B119" t="s">
        <v>141</v>
      </c>
      <c r="C119">
        <v>9.5629042962152795</v>
      </c>
      <c r="D119">
        <v>38209591.860322542</v>
      </c>
      <c r="E119">
        <v>13444582.66199619</v>
      </c>
      <c r="F119">
        <v>7819829940.410553</v>
      </c>
      <c r="G119">
        <v>19</v>
      </c>
      <c r="H119">
        <v>14.8</v>
      </c>
      <c r="I119">
        <v>2111.1372771894912</v>
      </c>
    </row>
    <row r="120" spans="1:9" x14ac:dyDescent="0.25">
      <c r="A120">
        <v>119</v>
      </c>
      <c r="B120" t="s">
        <v>142</v>
      </c>
      <c r="C120">
        <v>11.276281282465829</v>
      </c>
      <c r="D120">
        <v>16662038.28859519</v>
      </c>
      <c r="E120">
        <v>32587315.830622669</v>
      </c>
      <c r="F120">
        <v>10318190507.10416</v>
      </c>
      <c r="G120">
        <v>30</v>
      </c>
      <c r="H120">
        <v>15</v>
      </c>
      <c r="I120">
        <v>1980.726617551953</v>
      </c>
    </row>
    <row r="121" spans="1:9" x14ac:dyDescent="0.25">
      <c r="A121">
        <v>120</v>
      </c>
      <c r="B121" t="s">
        <v>143</v>
      </c>
      <c r="C121">
        <v>12.15983594692028</v>
      </c>
      <c r="D121">
        <v>4692626.1054952871</v>
      </c>
      <c r="E121">
        <v>80709061.011735529</v>
      </c>
      <c r="F121">
        <v>12227373166.901171</v>
      </c>
      <c r="G121">
        <v>38</v>
      </c>
      <c r="H121">
        <v>14.9</v>
      </c>
      <c r="I121">
        <v>1898.7428141791399</v>
      </c>
    </row>
    <row r="122" spans="1:9" x14ac:dyDescent="0.25">
      <c r="A122">
        <v>121</v>
      </c>
      <c r="B122" t="s">
        <v>144</v>
      </c>
      <c r="C122">
        <v>11.59273601242279</v>
      </c>
      <c r="D122">
        <v>84176697.49337928</v>
      </c>
      <c r="E122">
        <v>1193096.287072341</v>
      </c>
      <c r="F122">
        <v>1788278607.5220001</v>
      </c>
      <c r="G122">
        <v>18</v>
      </c>
      <c r="H122">
        <v>14.3</v>
      </c>
      <c r="I122">
        <v>1956.1646020900489</v>
      </c>
    </row>
    <row r="123" spans="1:9" x14ac:dyDescent="0.25">
      <c r="A123">
        <v>122</v>
      </c>
      <c r="B123" t="s">
        <v>145</v>
      </c>
      <c r="C123">
        <v>11.70651547181193</v>
      </c>
      <c r="D123">
        <v>44083400.981725462</v>
      </c>
      <c r="E123">
        <v>20544572.553942479</v>
      </c>
      <c r="F123">
        <v>6566053350.7795506</v>
      </c>
      <c r="G123">
        <v>19</v>
      </c>
      <c r="H123">
        <v>14.8</v>
      </c>
      <c r="I123">
        <v>1934.5852084960979</v>
      </c>
    </row>
    <row r="124" spans="1:9" x14ac:dyDescent="0.25">
      <c r="A124">
        <v>123</v>
      </c>
      <c r="B124" t="s">
        <v>146</v>
      </c>
      <c r="C124">
        <v>16.616594042706669</v>
      </c>
      <c r="D124">
        <v>18761912.572442461</v>
      </c>
      <c r="E124">
        <v>34641772.856849089</v>
      </c>
      <c r="F124">
        <v>9305189003.3994637</v>
      </c>
      <c r="G124">
        <v>31</v>
      </c>
      <c r="H124">
        <v>14.9</v>
      </c>
      <c r="I124">
        <v>1707.650654400104</v>
      </c>
    </row>
    <row r="125" spans="1:9" x14ac:dyDescent="0.25">
      <c r="A125">
        <v>124</v>
      </c>
      <c r="B125" t="s">
        <v>147</v>
      </c>
      <c r="C125">
        <v>22.1404139098602</v>
      </c>
      <c r="D125">
        <v>6888363.6483222321</v>
      </c>
      <c r="E125">
        <v>82717472.013761714</v>
      </c>
      <c r="F125">
        <v>11121976674.787291</v>
      </c>
      <c r="G125">
        <v>37</v>
      </c>
      <c r="H125">
        <v>15</v>
      </c>
      <c r="I125">
        <v>1519.6312385212491</v>
      </c>
    </row>
    <row r="126" spans="1:9" x14ac:dyDescent="0.25">
      <c r="A126">
        <v>125</v>
      </c>
      <c r="B126" t="s">
        <v>148</v>
      </c>
      <c r="C126">
        <v>11.424532885216379</v>
      </c>
      <c r="D126">
        <v>83710599.853810489</v>
      </c>
      <c r="E126">
        <v>657020.06175295822</v>
      </c>
      <c r="F126">
        <v>2512249841.0764718</v>
      </c>
      <c r="G126">
        <v>18</v>
      </c>
      <c r="H126">
        <v>14.3</v>
      </c>
      <c r="I126">
        <v>1964.045930445687</v>
      </c>
    </row>
    <row r="127" spans="1:9" x14ac:dyDescent="0.25">
      <c r="A127">
        <v>126</v>
      </c>
      <c r="B127" t="s">
        <v>149</v>
      </c>
      <c r="C127">
        <v>11.592597372479959</v>
      </c>
      <c r="D127">
        <v>38203188.888545923</v>
      </c>
      <c r="E127">
        <v>13368424.84614609</v>
      </c>
      <c r="F127">
        <v>7851971849.0925598</v>
      </c>
      <c r="G127">
        <v>19</v>
      </c>
      <c r="H127">
        <v>14.8</v>
      </c>
      <c r="I127">
        <v>1944.5408102381471</v>
      </c>
    </row>
    <row r="128" spans="1:9" x14ac:dyDescent="0.25">
      <c r="A128">
        <v>127</v>
      </c>
      <c r="B128" t="s">
        <v>150</v>
      </c>
      <c r="C128">
        <v>15.47315458940132</v>
      </c>
      <c r="D128">
        <v>16653545.78566446</v>
      </c>
      <c r="E128">
        <v>32172081.435855061</v>
      </c>
      <c r="F128">
        <v>10218348751.18137</v>
      </c>
      <c r="G128">
        <v>29</v>
      </c>
      <c r="H128">
        <v>15.1</v>
      </c>
      <c r="I128">
        <v>1740.61392778654</v>
      </c>
    </row>
    <row r="129" spans="1:9" x14ac:dyDescent="0.25">
      <c r="A129">
        <v>128</v>
      </c>
      <c r="B129" t="s">
        <v>151</v>
      </c>
      <c r="C129">
        <v>21.676846205021121</v>
      </c>
      <c r="D129">
        <v>4689442.3446975872</v>
      </c>
      <c r="E129">
        <v>80077448.725536883</v>
      </c>
      <c r="F129">
        <v>12028876633.184759</v>
      </c>
      <c r="G129">
        <v>36</v>
      </c>
      <c r="H129">
        <v>14.8</v>
      </c>
      <c r="I129">
        <v>1520.9895343144931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9"/>
  <sheetViews>
    <sheetView workbookViewId="0"/>
  </sheetViews>
  <sheetFormatPr baseColWidth="10" defaultColWidth="9.140625" defaultRowHeight="15" x14ac:dyDescent="0.25"/>
  <sheetData>
    <row r="1" spans="1:18" x14ac:dyDescent="0.25">
      <c r="A1" t="s">
        <v>202</v>
      </c>
      <c r="B1" t="s">
        <v>203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</row>
    <row r="2" spans="1:18" x14ac:dyDescent="0.25">
      <c r="A2">
        <v>1</v>
      </c>
      <c r="B2" t="s">
        <v>24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8.0799761784373914</v>
      </c>
      <c r="K2">
        <f t="shared" ref="K2:Q2" si="0">J2+J3</f>
        <v>17.613043420391094</v>
      </c>
      <c r="L2">
        <f t="shared" si="0"/>
        <v>40.857853553071024</v>
      </c>
      <c r="M2">
        <f t="shared" si="0"/>
        <v>79.927980954245427</v>
      </c>
      <c r="N2">
        <f t="shared" si="0"/>
        <v>192.23379673388513</v>
      </c>
      <c r="O2">
        <f t="shared" si="0"/>
        <v>367.93079034626686</v>
      </c>
      <c r="P2">
        <f t="shared" si="0"/>
        <v>744.40591577829264</v>
      </c>
      <c r="Q2">
        <f t="shared" si="0"/>
        <v>1590.1993963952368</v>
      </c>
      <c r="R2">
        <f>Q2/128</f>
        <v>12.423432784337788</v>
      </c>
    </row>
    <row r="3" spans="1:18" x14ac:dyDescent="0.25">
      <c r="A3">
        <v>2</v>
      </c>
      <c r="B3" t="s">
        <v>25</v>
      </c>
      <c r="C3">
        <v>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9.5330672419537024</v>
      </c>
      <c r="K3">
        <f t="shared" ref="K3:Q3" si="1">J4+J5</f>
        <v>23.24481013267993</v>
      </c>
      <c r="L3">
        <f t="shared" si="1"/>
        <v>39.070127401174403</v>
      </c>
      <c r="M3">
        <f t="shared" si="1"/>
        <v>112.30581577963972</v>
      </c>
      <c r="N3">
        <f t="shared" si="1"/>
        <v>175.69699361238173</v>
      </c>
      <c r="O3">
        <f t="shared" si="1"/>
        <v>376.47512543202583</v>
      </c>
      <c r="P3">
        <f t="shared" si="1"/>
        <v>845.79348061694418</v>
      </c>
      <c r="Q3">
        <f t="shared" si="1"/>
        <v>114.96902811372189</v>
      </c>
      <c r="R3">
        <f t="shared" ref="R3:R34" si="2">Q3/64</f>
        <v>1.7963910642769045</v>
      </c>
    </row>
    <row r="4" spans="1:18" x14ac:dyDescent="0.25">
      <c r="A4">
        <v>3</v>
      </c>
      <c r="B4" t="s">
        <v>26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11.023441741258489</v>
      </c>
      <c r="K4">
        <f t="shared" ref="K4:Q4" si="3">J6+J7</f>
        <v>16.565071653658563</v>
      </c>
      <c r="L4">
        <f t="shared" si="3"/>
        <v>57.947245934678705</v>
      </c>
      <c r="M4">
        <f t="shared" si="3"/>
        <v>75.602452824359858</v>
      </c>
      <c r="N4">
        <f t="shared" si="3"/>
        <v>196.57859917554072</v>
      </c>
      <c r="O4">
        <f t="shared" si="3"/>
        <v>414.11580686298242</v>
      </c>
      <c r="P4">
        <f t="shared" si="3"/>
        <v>56.973889437002597</v>
      </c>
      <c r="Q4">
        <f t="shared" si="3"/>
        <v>292.70623145088359</v>
      </c>
      <c r="R4">
        <f t="shared" si="2"/>
        <v>4.5735348664200561</v>
      </c>
    </row>
    <row r="5" spans="1:18" x14ac:dyDescent="0.25">
      <c r="A5">
        <v>4</v>
      </c>
      <c r="B5" t="s">
        <v>27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12.221368391421439</v>
      </c>
      <c r="K5">
        <f t="shared" ref="K5:Q5" si="4">J8+J9</f>
        <v>22.50505574751584</v>
      </c>
      <c r="L5">
        <f t="shared" si="4"/>
        <v>54.358569844961004</v>
      </c>
      <c r="M5">
        <f t="shared" si="4"/>
        <v>100.09454078802187</v>
      </c>
      <c r="N5">
        <f t="shared" si="4"/>
        <v>179.89652625648512</v>
      </c>
      <c r="O5">
        <f t="shared" si="4"/>
        <v>431.67767375396181</v>
      </c>
      <c r="P5">
        <f t="shared" si="4"/>
        <v>57.9951386767193</v>
      </c>
      <c r="Q5">
        <f t="shared" si="4"/>
        <v>77.226530191358094</v>
      </c>
      <c r="R5">
        <f t="shared" si="2"/>
        <v>1.2066645342399702</v>
      </c>
    </row>
    <row r="6" spans="1:18" x14ac:dyDescent="0.25">
      <c r="A6">
        <v>5</v>
      </c>
      <c r="B6" t="s">
        <v>28</v>
      </c>
      <c r="C6">
        <v>-1</v>
      </c>
      <c r="D6">
        <v>-1</v>
      </c>
      <c r="E6">
        <v>1</v>
      </c>
      <c r="F6">
        <v>-1</v>
      </c>
      <c r="G6">
        <v>-1</v>
      </c>
      <c r="H6">
        <v>-1</v>
      </c>
      <c r="I6">
        <v>-1</v>
      </c>
      <c r="J6">
        <v>7.8929024565949959</v>
      </c>
      <c r="K6">
        <f t="shared" ref="K6:Q6" si="5">J10+J11</f>
        <v>22.197838949404193</v>
      </c>
      <c r="L6">
        <f t="shared" si="5"/>
        <v>38.169827539155477</v>
      </c>
      <c r="M6">
        <f t="shared" si="5"/>
        <v>80.83696392104352</v>
      </c>
      <c r="N6">
        <f t="shared" si="5"/>
        <v>215.48124161581546</v>
      </c>
      <c r="O6">
        <f t="shared" si="5"/>
        <v>25.430844552046146</v>
      </c>
      <c r="P6">
        <f t="shared" si="5"/>
        <v>135.47086083758342</v>
      </c>
      <c r="Q6">
        <f t="shared" si="5"/>
        <v>-30.483300940196351</v>
      </c>
      <c r="R6">
        <f t="shared" si="2"/>
        <v>-0.47630157719056798</v>
      </c>
    </row>
    <row r="7" spans="1:18" x14ac:dyDescent="0.25">
      <c r="A7">
        <v>6</v>
      </c>
      <c r="B7" t="s">
        <v>29</v>
      </c>
      <c r="C7">
        <v>1</v>
      </c>
      <c r="D7">
        <v>-1</v>
      </c>
      <c r="E7">
        <v>1</v>
      </c>
      <c r="F7">
        <v>-1</v>
      </c>
      <c r="G7">
        <v>-1</v>
      </c>
      <c r="H7">
        <v>-1</v>
      </c>
      <c r="I7">
        <v>-1</v>
      </c>
      <c r="J7">
        <v>8.6721691970635675</v>
      </c>
      <c r="K7">
        <f t="shared" ref="K7:Q7" si="6">J12+J13</f>
        <v>35.749406985274511</v>
      </c>
      <c r="L7">
        <f t="shared" si="6"/>
        <v>37.432625285204388</v>
      </c>
      <c r="M7">
        <f t="shared" si="6"/>
        <v>115.7416352544972</v>
      </c>
      <c r="N7">
        <f t="shared" si="6"/>
        <v>198.63456524716696</v>
      </c>
      <c r="O7">
        <f t="shared" si="6"/>
        <v>31.543044884956448</v>
      </c>
      <c r="P7">
        <f t="shared" si="6"/>
        <v>157.23537061330018</v>
      </c>
      <c r="Q7">
        <f t="shared" si="6"/>
        <v>-0.48551086544958277</v>
      </c>
      <c r="R7">
        <f t="shared" si="2"/>
        <v>-7.5861072726497308E-3</v>
      </c>
    </row>
    <row r="8" spans="1:18" x14ac:dyDescent="0.25">
      <c r="A8">
        <v>7</v>
      </c>
      <c r="B8" t="s">
        <v>30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10.69394399794227</v>
      </c>
      <c r="K8">
        <f t="shared" ref="K8:Q8" si="7">J14+J15</f>
        <v>21.010376852714792</v>
      </c>
      <c r="L8">
        <f t="shared" si="7"/>
        <v>50.263154130434685</v>
      </c>
      <c r="M8">
        <f t="shared" si="7"/>
        <v>76.295619028438438</v>
      </c>
      <c r="N8">
        <f t="shared" si="7"/>
        <v>223.80919032442242</v>
      </c>
      <c r="O8">
        <f t="shared" si="7"/>
        <v>26.402160343061617</v>
      </c>
      <c r="P8">
        <f t="shared" si="7"/>
        <v>34.651211721282948</v>
      </c>
      <c r="Q8">
        <f t="shared" si="7"/>
        <v>-8.7621518397117022</v>
      </c>
      <c r="R8">
        <f t="shared" si="2"/>
        <v>-0.13690862249549535</v>
      </c>
    </row>
    <row r="9" spans="1:18" x14ac:dyDescent="0.25">
      <c r="A9">
        <v>8</v>
      </c>
      <c r="B9" t="s">
        <v>31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-1</v>
      </c>
      <c r="J9">
        <v>11.81111174957357</v>
      </c>
      <c r="K9">
        <f t="shared" ref="K9:Q9" si="8">J16+J17</f>
        <v>33.348192992246211</v>
      </c>
      <c r="L9">
        <f t="shared" si="8"/>
        <v>49.831386657587188</v>
      </c>
      <c r="M9">
        <f t="shared" si="8"/>
        <v>103.60090722804668</v>
      </c>
      <c r="N9">
        <f t="shared" si="8"/>
        <v>207.86848342953942</v>
      </c>
      <c r="O9">
        <f t="shared" si="8"/>
        <v>31.592978333657683</v>
      </c>
      <c r="P9">
        <f t="shared" si="8"/>
        <v>42.575318470075146</v>
      </c>
      <c r="Q9">
        <f t="shared" si="8"/>
        <v>12.219411050143172</v>
      </c>
      <c r="R9">
        <f t="shared" si="2"/>
        <v>0.19092829765848707</v>
      </c>
    </row>
    <row r="10" spans="1:18" x14ac:dyDescent="0.25">
      <c r="A10">
        <v>9</v>
      </c>
      <c r="B10" t="s">
        <v>32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10.423174783128321</v>
      </c>
      <c r="K10">
        <f t="shared" ref="K10:Q10" si="9">J18+J19</f>
        <v>16.325552965815106</v>
      </c>
      <c r="L10">
        <f t="shared" si="9"/>
        <v>41.187741177027988</v>
      </c>
      <c r="M10">
        <f t="shared" si="9"/>
        <v>89.163998243516914</v>
      </c>
      <c r="N10">
        <f t="shared" si="9"/>
        <v>17.735755626531372</v>
      </c>
      <c r="O10">
        <f t="shared" si="9"/>
        <v>64.564600488680881</v>
      </c>
      <c r="P10">
        <f t="shared" si="9"/>
        <v>-12.542084774145785</v>
      </c>
      <c r="Q10">
        <f t="shared" si="9"/>
        <v>266.54129934642697</v>
      </c>
      <c r="R10">
        <f t="shared" si="2"/>
        <v>4.1647078022879214</v>
      </c>
    </row>
    <row r="11" spans="1:18" x14ac:dyDescent="0.25">
      <c r="A11">
        <v>10</v>
      </c>
      <c r="B11" t="s">
        <v>33</v>
      </c>
      <c r="C11">
        <v>1</v>
      </c>
      <c r="D11">
        <v>-1</v>
      </c>
      <c r="E11">
        <v>-1</v>
      </c>
      <c r="F11">
        <v>1</v>
      </c>
      <c r="G11">
        <v>-1</v>
      </c>
      <c r="H11">
        <v>-1</v>
      </c>
      <c r="I11">
        <v>-1</v>
      </c>
      <c r="J11">
        <v>11.774664166275871</v>
      </c>
      <c r="K11">
        <f t="shared" ref="K11:Q11" si="10">J20+J21</f>
        <v>21.844274573340371</v>
      </c>
      <c r="L11">
        <f t="shared" si="10"/>
        <v>39.649222744015532</v>
      </c>
      <c r="M11">
        <f t="shared" si="10"/>
        <v>126.31724337229856</v>
      </c>
      <c r="N11">
        <f t="shared" si="10"/>
        <v>7.6950889255147725</v>
      </c>
      <c r="O11">
        <f t="shared" si="10"/>
        <v>70.906260348902549</v>
      </c>
      <c r="P11">
        <f t="shared" si="10"/>
        <v>-17.941216166050566</v>
      </c>
      <c r="Q11">
        <f t="shared" si="10"/>
        <v>64.294303377969143</v>
      </c>
      <c r="R11">
        <f t="shared" si="2"/>
        <v>1.0045984902807679</v>
      </c>
    </row>
    <row r="12" spans="1:18" x14ac:dyDescent="0.25">
      <c r="A12">
        <v>11</v>
      </c>
      <c r="B12" t="s">
        <v>34</v>
      </c>
      <c r="C12">
        <v>-1</v>
      </c>
      <c r="D12">
        <v>1</v>
      </c>
      <c r="E12">
        <v>-1</v>
      </c>
      <c r="F12">
        <v>1</v>
      </c>
      <c r="G12">
        <v>-1</v>
      </c>
      <c r="H12">
        <v>-1</v>
      </c>
      <c r="I12">
        <v>-1</v>
      </c>
      <c r="J12">
        <v>15.129149093287641</v>
      </c>
      <c r="K12">
        <f t="shared" ref="K12:Q12" si="11">J22+J23</f>
        <v>16.092323756154627</v>
      </c>
      <c r="L12">
        <f t="shared" si="11"/>
        <v>59.58714150298897</v>
      </c>
      <c r="M12">
        <f t="shared" si="11"/>
        <v>84.864308193643126</v>
      </c>
      <c r="N12">
        <f t="shared" si="11"/>
        <v>20.798239017753495</v>
      </c>
      <c r="O12">
        <f t="shared" si="11"/>
        <v>70.499043896815564</v>
      </c>
      <c r="P12">
        <f t="shared" si="11"/>
        <v>-0.13644491416122495</v>
      </c>
      <c r="Q12">
        <f t="shared" si="11"/>
        <v>126.2663900840045</v>
      </c>
      <c r="R12">
        <f t="shared" si="2"/>
        <v>1.9729123450625703</v>
      </c>
    </row>
    <row r="13" spans="1:18" x14ac:dyDescent="0.25">
      <c r="A13">
        <v>12</v>
      </c>
      <c r="B13" t="s">
        <v>35</v>
      </c>
      <c r="C13">
        <v>1</v>
      </c>
      <c r="D13">
        <v>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20.620257891986871</v>
      </c>
      <c r="K13">
        <f t="shared" ref="K13:Q13" si="12">J24+J25</f>
        <v>21.340301529049761</v>
      </c>
      <c r="L13">
        <f t="shared" si="12"/>
        <v>56.154493751508234</v>
      </c>
      <c r="M13">
        <f t="shared" si="12"/>
        <v>113.77025705352384</v>
      </c>
      <c r="N13">
        <f t="shared" si="12"/>
        <v>10.744805867202952</v>
      </c>
      <c r="O13">
        <f t="shared" si="12"/>
        <v>86.736326716484626</v>
      </c>
      <c r="P13">
        <f t="shared" si="12"/>
        <v>-0.34906595128835782</v>
      </c>
      <c r="Q13">
        <f t="shared" si="12"/>
        <v>63.751872404716352</v>
      </c>
      <c r="R13">
        <f t="shared" si="2"/>
        <v>0.99612300632369299</v>
      </c>
    </row>
    <row r="14" spans="1:18" x14ac:dyDescent="0.25">
      <c r="A14">
        <v>13</v>
      </c>
      <c r="B14" t="s">
        <v>36</v>
      </c>
      <c r="C14">
        <v>-1</v>
      </c>
      <c r="D14">
        <v>-1</v>
      </c>
      <c r="E14">
        <v>1</v>
      </c>
      <c r="F14">
        <v>1</v>
      </c>
      <c r="G14">
        <v>-1</v>
      </c>
      <c r="H14">
        <v>-1</v>
      </c>
      <c r="I14">
        <v>-1</v>
      </c>
      <c r="J14">
        <v>10.2714141848182</v>
      </c>
      <c r="K14">
        <f t="shared" ref="K14:Q14" si="13">J26+J27</f>
        <v>21.060834433771461</v>
      </c>
      <c r="L14">
        <f t="shared" si="13"/>
        <v>38.395966969330033</v>
      </c>
      <c r="M14">
        <f t="shared" si="13"/>
        <v>89.492632418538676</v>
      </c>
      <c r="N14">
        <f t="shared" si="13"/>
        <v>16.972328291411735</v>
      </c>
      <c r="O14">
        <f t="shared" si="13"/>
        <v>14.732806613451036</v>
      </c>
      <c r="P14">
        <f t="shared" si="13"/>
        <v>-1.4130332772551277</v>
      </c>
      <c r="Q14">
        <f t="shared" si="13"/>
        <v>-12.756989163765262</v>
      </c>
      <c r="R14">
        <f t="shared" si="2"/>
        <v>-0.19932795568383221</v>
      </c>
    </row>
    <row r="15" spans="1:18" x14ac:dyDescent="0.25">
      <c r="A15">
        <v>14</v>
      </c>
      <c r="B15" t="s">
        <v>37</v>
      </c>
      <c r="C15">
        <v>1</v>
      </c>
      <c r="D15">
        <v>-1</v>
      </c>
      <c r="E15">
        <v>1</v>
      </c>
      <c r="F15">
        <v>1</v>
      </c>
      <c r="G15">
        <v>-1</v>
      </c>
      <c r="H15">
        <v>-1</v>
      </c>
      <c r="I15">
        <v>-1</v>
      </c>
      <c r="J15">
        <v>10.73896266789659</v>
      </c>
      <c r="K15">
        <f t="shared" ref="K15:Q15" si="14">J28+J29</f>
        <v>29.202319696663221</v>
      </c>
      <c r="L15">
        <f t="shared" si="14"/>
        <v>37.899652059108398</v>
      </c>
      <c r="M15">
        <f t="shared" si="14"/>
        <v>134.31655790588374</v>
      </c>
      <c r="N15">
        <f t="shared" si="14"/>
        <v>9.4298320516498819</v>
      </c>
      <c r="O15">
        <f t="shared" si="14"/>
        <v>19.918405107831909</v>
      </c>
      <c r="P15">
        <f t="shared" si="14"/>
        <v>-7.3491185624565745</v>
      </c>
      <c r="Q15">
        <f t="shared" si="14"/>
        <v>2.6720886215989159</v>
      </c>
      <c r="R15">
        <f t="shared" si="2"/>
        <v>4.1751384712483061E-2</v>
      </c>
    </row>
    <row r="16" spans="1:18" x14ac:dyDescent="0.25">
      <c r="A16">
        <v>15</v>
      </c>
      <c r="B16" t="s">
        <v>38</v>
      </c>
      <c r="C16">
        <v>-1</v>
      </c>
      <c r="D16">
        <v>1</v>
      </c>
      <c r="E16">
        <v>1</v>
      </c>
      <c r="F16">
        <v>1</v>
      </c>
      <c r="G16">
        <v>-1</v>
      </c>
      <c r="H16">
        <v>-1</v>
      </c>
      <c r="I16">
        <v>-1</v>
      </c>
      <c r="J16">
        <v>13.73501811820957</v>
      </c>
      <c r="K16">
        <f t="shared" ref="K16:Q16" si="15">J30+J31</f>
        <v>20.81805289688316</v>
      </c>
      <c r="L16">
        <f t="shared" si="15"/>
        <v>52.065069469532361</v>
      </c>
      <c r="M16">
        <f t="shared" si="15"/>
        <v>85.645092940619051</v>
      </c>
      <c r="N16">
        <f t="shared" si="15"/>
        <v>17.798133278109336</v>
      </c>
      <c r="O16">
        <f t="shared" si="15"/>
        <v>19.289942300494367</v>
      </c>
      <c r="P16">
        <f t="shared" si="15"/>
        <v>5.6790684134117706</v>
      </c>
      <c r="Q16">
        <f t="shared" si="15"/>
        <v>-7.7277516969558029</v>
      </c>
      <c r="R16">
        <f t="shared" si="2"/>
        <v>-0.12074612026493442</v>
      </c>
    </row>
    <row r="17" spans="1:18" x14ac:dyDescent="0.25">
      <c r="A17">
        <v>16</v>
      </c>
      <c r="B17" t="s">
        <v>39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19.613174874036641</v>
      </c>
      <c r="K17">
        <f t="shared" ref="K17:Q17" si="16">J32+J33</f>
        <v>29.013333760704029</v>
      </c>
      <c r="L17">
        <f t="shared" si="16"/>
        <v>51.535837758514312</v>
      </c>
      <c r="M17">
        <f t="shared" si="16"/>
        <v>122.22339048892036</v>
      </c>
      <c r="N17">
        <f t="shared" si="16"/>
        <v>13.794845055548347</v>
      </c>
      <c r="O17">
        <f t="shared" si="16"/>
        <v>23.285376169580779</v>
      </c>
      <c r="P17">
        <f t="shared" si="16"/>
        <v>6.5403426367314008</v>
      </c>
      <c r="Q17">
        <f t="shared" si="16"/>
        <v>6.2190533571422018</v>
      </c>
      <c r="R17">
        <f t="shared" si="2"/>
        <v>9.7172708705346902E-2</v>
      </c>
    </row>
    <row r="18" spans="1:18" x14ac:dyDescent="0.25">
      <c r="A18">
        <v>17</v>
      </c>
      <c r="B18" t="s">
        <v>40</v>
      </c>
      <c r="C18">
        <v>-1</v>
      </c>
      <c r="D18">
        <v>-1</v>
      </c>
      <c r="E18">
        <v>-1</v>
      </c>
      <c r="F18">
        <v>-1</v>
      </c>
      <c r="G18">
        <v>1</v>
      </c>
      <c r="H18">
        <v>-1</v>
      </c>
      <c r="I18">
        <v>-1</v>
      </c>
      <c r="J18">
        <v>7.9925991424792784</v>
      </c>
      <c r="K18">
        <f t="shared" ref="K18:Q18" si="17">J34+J35</f>
        <v>17.789459552058076</v>
      </c>
      <c r="L18">
        <f t="shared" si="17"/>
        <v>45.322815467157568</v>
      </c>
      <c r="M18">
        <f t="shared" si="17"/>
        <v>4.5474522057791322</v>
      </c>
      <c r="N18">
        <f t="shared" si="17"/>
        <v>37.46113498154785</v>
      </c>
      <c r="O18">
        <f t="shared" si="17"/>
        <v>-6.5453719684129084</v>
      </c>
      <c r="P18">
        <f t="shared" si="17"/>
        <v>119.07988232211822</v>
      </c>
      <c r="Q18">
        <f t="shared" si="17"/>
        <v>-66.006259304090491</v>
      </c>
      <c r="R18">
        <f t="shared" si="2"/>
        <v>-1.0313478016264139</v>
      </c>
    </row>
    <row r="19" spans="1:18" x14ac:dyDescent="0.25">
      <c r="A19">
        <v>18</v>
      </c>
      <c r="B19" t="s">
        <v>41</v>
      </c>
      <c r="C19">
        <v>1</v>
      </c>
      <c r="D19">
        <v>-1</v>
      </c>
      <c r="E19">
        <v>-1</v>
      </c>
      <c r="F19">
        <v>-1</v>
      </c>
      <c r="G19">
        <v>1</v>
      </c>
      <c r="H19">
        <v>-1</v>
      </c>
      <c r="I19">
        <v>-1</v>
      </c>
      <c r="J19">
        <v>8.3329538233358278</v>
      </c>
      <c r="K19">
        <f t="shared" ref="K19:Q19" si="18">J36+J37</f>
        <v>23.398281624969911</v>
      </c>
      <c r="L19">
        <f t="shared" si="18"/>
        <v>43.841182776359354</v>
      </c>
      <c r="M19">
        <f t="shared" si="18"/>
        <v>13.188303420752241</v>
      </c>
      <c r="N19">
        <f t="shared" si="18"/>
        <v>27.103465507133027</v>
      </c>
      <c r="O19">
        <f t="shared" si="18"/>
        <v>-5.9967128057328765</v>
      </c>
      <c r="P19">
        <f t="shared" si="18"/>
        <v>147.46141702430873</v>
      </c>
      <c r="Q19">
        <f t="shared" si="18"/>
        <v>-31.639884313889986</v>
      </c>
      <c r="R19">
        <f t="shared" si="2"/>
        <v>-0.49437319240453104</v>
      </c>
    </row>
    <row r="20" spans="1:18" x14ac:dyDescent="0.25">
      <c r="A20">
        <v>19</v>
      </c>
      <c r="B20" t="s">
        <v>42</v>
      </c>
      <c r="C20">
        <v>-1</v>
      </c>
      <c r="D20">
        <v>1</v>
      </c>
      <c r="E20">
        <v>-1</v>
      </c>
      <c r="F20">
        <v>-1</v>
      </c>
      <c r="G20">
        <v>1</v>
      </c>
      <c r="H20">
        <v>-1</v>
      </c>
      <c r="I20">
        <v>-1</v>
      </c>
      <c r="J20">
        <v>10.65350888824601</v>
      </c>
      <c r="K20">
        <f t="shared" ref="K20:Q20" si="19">J38+J39</f>
        <v>16.876560449769372</v>
      </c>
      <c r="L20">
        <f t="shared" si="19"/>
        <v>65.759800686685452</v>
      </c>
      <c r="M20">
        <f t="shared" si="19"/>
        <v>2.073356711972103</v>
      </c>
      <c r="N20">
        <f t="shared" si="19"/>
        <v>40.373924774069671</v>
      </c>
      <c r="O20">
        <f t="shared" si="19"/>
        <v>-8.8482133469625097</v>
      </c>
      <c r="P20">
        <f t="shared" si="19"/>
        <v>28.698825973821645</v>
      </c>
      <c r="Q20">
        <f t="shared" si="19"/>
        <v>-40.916446323014995</v>
      </c>
      <c r="R20">
        <f t="shared" si="2"/>
        <v>-0.63931947379710929</v>
      </c>
    </row>
    <row r="21" spans="1:18" x14ac:dyDescent="0.25">
      <c r="A21">
        <v>20</v>
      </c>
      <c r="B21" t="s">
        <v>43</v>
      </c>
      <c r="C21">
        <v>1</v>
      </c>
      <c r="D21">
        <v>1</v>
      </c>
      <c r="E21">
        <v>-1</v>
      </c>
      <c r="F21">
        <v>-1</v>
      </c>
      <c r="G21">
        <v>1</v>
      </c>
      <c r="H21">
        <v>-1</v>
      </c>
      <c r="I21">
        <v>-1</v>
      </c>
      <c r="J21">
        <v>11.190765685094361</v>
      </c>
      <c r="K21">
        <f t="shared" ref="K21:Q21" si="20">J40+J41</f>
        <v>22.77266229424616</v>
      </c>
      <c r="L21">
        <f t="shared" si="20"/>
        <v>60.557442685613111</v>
      </c>
      <c r="M21">
        <f t="shared" si="20"/>
        <v>5.6217322135426695</v>
      </c>
      <c r="N21">
        <f t="shared" si="20"/>
        <v>30.532335574832885</v>
      </c>
      <c r="O21">
        <f t="shared" si="20"/>
        <v>-9.0930028190880563</v>
      </c>
      <c r="P21">
        <f t="shared" si="20"/>
        <v>35.595477404147502</v>
      </c>
      <c r="Q21">
        <f t="shared" si="20"/>
        <v>-9.0265183879920752</v>
      </c>
      <c r="R21">
        <f t="shared" si="2"/>
        <v>-0.14103934981237617</v>
      </c>
    </row>
    <row r="22" spans="1:18" x14ac:dyDescent="0.25">
      <c r="A22">
        <v>21</v>
      </c>
      <c r="B22" t="s">
        <v>44</v>
      </c>
      <c r="C22">
        <v>-1</v>
      </c>
      <c r="D22">
        <v>-1</v>
      </c>
      <c r="E22">
        <v>1</v>
      </c>
      <c r="F22">
        <v>-1</v>
      </c>
      <c r="G22">
        <v>1</v>
      </c>
      <c r="H22">
        <v>-1</v>
      </c>
      <c r="I22">
        <v>-1</v>
      </c>
      <c r="J22">
        <v>7.8692564580567819</v>
      </c>
      <c r="K22">
        <f t="shared" ref="K22:Q22" si="21">J42+J43</f>
        <v>22.418477747628678</v>
      </c>
      <c r="L22">
        <f t="shared" si="21"/>
        <v>42.72278915314012</v>
      </c>
      <c r="M22">
        <f t="shared" si="21"/>
        <v>5.2488237910250719</v>
      </c>
      <c r="N22">
        <f t="shared" si="21"/>
        <v>40.901781148096966</v>
      </c>
      <c r="O22">
        <f t="shared" si="21"/>
        <v>-6.2549771513733532E-2</v>
      </c>
      <c r="P22">
        <f t="shared" si="21"/>
        <v>46.378640574356766</v>
      </c>
      <c r="Q22">
        <f t="shared" si="21"/>
        <v>16.652353519618792</v>
      </c>
      <c r="R22">
        <f t="shared" si="2"/>
        <v>0.26019302374404363</v>
      </c>
    </row>
    <row r="23" spans="1:18" x14ac:dyDescent="0.25">
      <c r="A23">
        <v>22</v>
      </c>
      <c r="B23" t="s">
        <v>45</v>
      </c>
      <c r="C23">
        <v>1</v>
      </c>
      <c r="D23">
        <v>-1</v>
      </c>
      <c r="E23">
        <v>1</v>
      </c>
      <c r="F23">
        <v>-1</v>
      </c>
      <c r="G23">
        <v>1</v>
      </c>
      <c r="H23">
        <v>-1</v>
      </c>
      <c r="I23">
        <v>-1</v>
      </c>
      <c r="J23">
        <v>8.2230672980978454</v>
      </c>
      <c r="K23">
        <f t="shared" ref="K23:Q23" si="22">J44+J45</f>
        <v>37.168663755360292</v>
      </c>
      <c r="L23">
        <f t="shared" si="22"/>
        <v>42.141519040503013</v>
      </c>
      <c r="M23">
        <f t="shared" si="22"/>
        <v>15.549415226728422</v>
      </c>
      <c r="N23">
        <f t="shared" si="22"/>
        <v>29.597262748718599</v>
      </c>
      <c r="O23">
        <f t="shared" si="22"/>
        <v>-7.3895142647491419E-2</v>
      </c>
      <c r="P23">
        <f t="shared" si="22"/>
        <v>79.887749509647733</v>
      </c>
      <c r="Q23">
        <f t="shared" si="22"/>
        <v>7.9241366718494701</v>
      </c>
      <c r="R23">
        <f t="shared" si="2"/>
        <v>0.12381463549764797</v>
      </c>
    </row>
    <row r="24" spans="1:18" x14ac:dyDescent="0.25">
      <c r="A24">
        <v>23</v>
      </c>
      <c r="B24" t="s">
        <v>46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10.24918356741181</v>
      </c>
      <c r="K24">
        <f t="shared" ref="K24:Q24" si="23">J46+J47</f>
        <v>21.0178394512794</v>
      </c>
      <c r="L24">
        <f t="shared" si="23"/>
        <v>57.676604797989341</v>
      </c>
      <c r="M24">
        <f t="shared" si="23"/>
        <v>2.2678990228141664</v>
      </c>
      <c r="N24">
        <f t="shared" si="23"/>
        <v>48.074497983234821</v>
      </c>
      <c r="O24">
        <f t="shared" si="23"/>
        <v>-0.82884424288933722</v>
      </c>
      <c r="P24">
        <f t="shared" si="23"/>
        <v>31.727359705309734</v>
      </c>
      <c r="Q24">
        <f t="shared" si="23"/>
        <v>2.4168660037065486</v>
      </c>
      <c r="R24">
        <f t="shared" si="2"/>
        <v>3.7763531307914822E-2</v>
      </c>
    </row>
    <row r="25" spans="1:18" x14ac:dyDescent="0.25">
      <c r="A25">
        <v>24</v>
      </c>
      <c r="B25"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11.09111796163795</v>
      </c>
      <c r="K25">
        <f t="shared" ref="K25:Q25" si="24">J48+J49</f>
        <v>35.136654300228834</v>
      </c>
      <c r="L25">
        <f t="shared" si="24"/>
        <v>56.093652255534494</v>
      </c>
      <c r="M25">
        <f t="shared" si="24"/>
        <v>8.4769068443887861</v>
      </c>
      <c r="N25">
        <f t="shared" si="24"/>
        <v>38.661828733249799</v>
      </c>
      <c r="O25">
        <f t="shared" si="24"/>
        <v>0.4797782916009794</v>
      </c>
      <c r="P25">
        <f t="shared" si="24"/>
        <v>32.024512699406621</v>
      </c>
      <c r="Q25">
        <f t="shared" si="24"/>
        <v>-4.4764131468022539</v>
      </c>
      <c r="R25">
        <f t="shared" si="2"/>
        <v>-6.9943955418785217E-2</v>
      </c>
    </row>
    <row r="26" spans="1:18" x14ac:dyDescent="0.25">
      <c r="A26">
        <v>25</v>
      </c>
      <c r="B26" t="s">
        <v>48</v>
      </c>
      <c r="C26">
        <v>-1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10.36743854871605</v>
      </c>
      <c r="K26">
        <f t="shared" ref="K26:Q26" si="25">J50+J51</f>
        <v>16.54799946091066</v>
      </c>
      <c r="L26">
        <f t="shared" si="25"/>
        <v>45.532758715880675</v>
      </c>
      <c r="M26">
        <f t="shared" si="25"/>
        <v>3.8898667323963458</v>
      </c>
      <c r="N26">
        <f t="shared" si="25"/>
        <v>9.6329642861097273</v>
      </c>
      <c r="O26">
        <f t="shared" si="25"/>
        <v>-1.1224827484714801</v>
      </c>
      <c r="P26">
        <f t="shared" si="25"/>
        <v>-3.4225612759821828</v>
      </c>
      <c r="Q26">
        <f t="shared" si="25"/>
        <v>-31.978054203522404</v>
      </c>
      <c r="R26">
        <f t="shared" si="2"/>
        <v>-0.49965709693003757</v>
      </c>
    </row>
    <row r="27" spans="1:18" x14ac:dyDescent="0.25">
      <c r="A27">
        <v>26</v>
      </c>
      <c r="B27" t="s">
        <v>49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10.693395885055409</v>
      </c>
      <c r="K27">
        <f t="shared" ref="K27:Q27" si="26">J52+J53</f>
        <v>21.847967508419373</v>
      </c>
      <c r="L27">
        <f t="shared" si="26"/>
        <v>43.959873702658001</v>
      </c>
      <c r="M27">
        <f t="shared" si="26"/>
        <v>13.082461559015391</v>
      </c>
      <c r="N27">
        <f t="shared" si="26"/>
        <v>5.0998423273413085</v>
      </c>
      <c r="O27">
        <f t="shared" si="26"/>
        <v>-0.29055052878364762</v>
      </c>
      <c r="P27">
        <f t="shared" si="26"/>
        <v>-9.3344278877830789</v>
      </c>
      <c r="Q27">
        <f t="shared" si="26"/>
        <v>-11.467802177016749</v>
      </c>
      <c r="R27">
        <f t="shared" si="2"/>
        <v>-0.1791844090158867</v>
      </c>
    </row>
    <row r="28" spans="1:18" x14ac:dyDescent="0.25">
      <c r="A28">
        <v>27</v>
      </c>
      <c r="B28" t="s">
        <v>50</v>
      </c>
      <c r="C28">
        <v>-1</v>
      </c>
      <c r="D28">
        <v>1</v>
      </c>
      <c r="E28">
        <v>-1</v>
      </c>
      <c r="F28">
        <v>1</v>
      </c>
      <c r="G28">
        <v>1</v>
      </c>
      <c r="H28">
        <v>-1</v>
      </c>
      <c r="I28">
        <v>-1</v>
      </c>
      <c r="J28">
        <v>13.57640362222679</v>
      </c>
      <c r="K28">
        <f t="shared" ref="K28:Q28" si="27">J54+J55</f>
        <v>16.248442039479457</v>
      </c>
      <c r="L28">
        <f t="shared" si="27"/>
        <v>69.639970502295284</v>
      </c>
      <c r="M28">
        <f t="shared" si="27"/>
        <v>1.4989152888113129</v>
      </c>
      <c r="N28">
        <f t="shared" si="27"/>
        <v>12.175132483084205</v>
      </c>
      <c r="O28">
        <f t="shared" si="27"/>
        <v>-3.7585643908548647</v>
      </c>
      <c r="P28">
        <f t="shared" si="27"/>
        <v>0.9168912672295173</v>
      </c>
      <c r="Q28">
        <f t="shared" si="27"/>
        <v>-30.291370303833364</v>
      </c>
      <c r="R28">
        <f t="shared" si="2"/>
        <v>-0.47330266099739632</v>
      </c>
    </row>
    <row r="29" spans="1:18" x14ac:dyDescent="0.25">
      <c r="A29">
        <v>28</v>
      </c>
      <c r="B29" t="s">
        <v>51</v>
      </c>
      <c r="C29">
        <v>1</v>
      </c>
      <c r="D29">
        <v>1</v>
      </c>
      <c r="E29">
        <v>-1</v>
      </c>
      <c r="F29">
        <v>1</v>
      </c>
      <c r="G29">
        <v>1</v>
      </c>
      <c r="H29">
        <v>-1</v>
      </c>
      <c r="I29">
        <v>-1</v>
      </c>
      <c r="J29">
        <v>15.62591607443643</v>
      </c>
      <c r="K29">
        <f t="shared" ref="K29:Q29" si="28">J56+J57</f>
        <v>21.651210019628941</v>
      </c>
      <c r="L29">
        <f t="shared" si="28"/>
        <v>64.676587403588456</v>
      </c>
      <c r="M29">
        <f t="shared" si="28"/>
        <v>7.9309167628385691</v>
      </c>
      <c r="N29">
        <f t="shared" si="28"/>
        <v>7.7432726247477035</v>
      </c>
      <c r="O29">
        <f t="shared" si="28"/>
        <v>-3.5905541716017098</v>
      </c>
      <c r="P29">
        <f t="shared" si="28"/>
        <v>1.7551973543693986</v>
      </c>
      <c r="Q29">
        <f t="shared" si="28"/>
        <v>-10.052573062148761</v>
      </c>
      <c r="R29">
        <f t="shared" si="2"/>
        <v>-0.1570714540960744</v>
      </c>
    </row>
    <row r="30" spans="1:18" x14ac:dyDescent="0.25">
      <c r="A30">
        <v>29</v>
      </c>
      <c r="B30" t="s">
        <v>52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10.2702762275167</v>
      </c>
      <c r="K30">
        <f t="shared" ref="K30:Q30" si="29">J58+J59</f>
        <v>21.06282007942071</v>
      </c>
      <c r="L30">
        <f t="shared" si="29"/>
        <v>43.1563496315474</v>
      </c>
      <c r="M30">
        <f t="shared" si="29"/>
        <v>4.0255589889559467</v>
      </c>
      <c r="N30">
        <f t="shared" si="29"/>
        <v>10.801198011912168</v>
      </c>
      <c r="O30">
        <f t="shared" si="29"/>
        <v>3.1229821453302335</v>
      </c>
      <c r="P30">
        <f t="shared" si="29"/>
        <v>-2.2681397795431941</v>
      </c>
      <c r="Q30">
        <f t="shared" si="29"/>
        <v>8.8556161403300209</v>
      </c>
      <c r="R30">
        <f t="shared" si="2"/>
        <v>0.13836900219265658</v>
      </c>
    </row>
    <row r="31" spans="1:18" x14ac:dyDescent="0.25">
      <c r="A31">
        <v>30</v>
      </c>
      <c r="B31" t="s">
        <v>53</v>
      </c>
      <c r="C31">
        <v>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10.54777666936646</v>
      </c>
      <c r="K31">
        <f t="shared" ref="K31:Q31" si="30">J60+J61</f>
        <v>31.00224939011165</v>
      </c>
      <c r="L31">
        <f t="shared" si="30"/>
        <v>42.488743309071651</v>
      </c>
      <c r="M31">
        <f t="shared" si="30"/>
        <v>13.77257428915339</v>
      </c>
      <c r="N31">
        <f t="shared" si="30"/>
        <v>8.4887442885821969</v>
      </c>
      <c r="O31">
        <f t="shared" si="30"/>
        <v>2.556086268081537</v>
      </c>
      <c r="P31">
        <f t="shared" si="30"/>
        <v>-5.4596119174126088</v>
      </c>
      <c r="Q31">
        <f t="shared" si="30"/>
        <v>0.96265081026433297</v>
      </c>
      <c r="R31">
        <f t="shared" si="2"/>
        <v>1.5041418910380203E-2</v>
      </c>
    </row>
    <row r="32" spans="1:18" x14ac:dyDescent="0.25">
      <c r="A32">
        <v>31</v>
      </c>
      <c r="B32" t="s">
        <v>54</v>
      </c>
      <c r="C32">
        <v>-1</v>
      </c>
      <c r="D32">
        <v>1</v>
      </c>
      <c r="E32">
        <v>1</v>
      </c>
      <c r="F32">
        <v>1</v>
      </c>
      <c r="G32">
        <v>1</v>
      </c>
      <c r="H32">
        <v>-1</v>
      </c>
      <c r="I32">
        <v>-1</v>
      </c>
      <c r="J32">
        <v>13.022285888780059</v>
      </c>
      <c r="K32">
        <f t="shared" ref="K32:Q32" si="31">J62+J63</f>
        <v>20.822833761015282</v>
      </c>
      <c r="L32">
        <f t="shared" si="31"/>
        <v>62.056259436801582</v>
      </c>
      <c r="M32">
        <f t="shared" si="31"/>
        <v>1.7854896261222954</v>
      </c>
      <c r="N32">
        <f t="shared" si="31"/>
        <v>10.517229508568981</v>
      </c>
      <c r="O32">
        <f t="shared" si="31"/>
        <v>2.3946252947526343</v>
      </c>
      <c r="P32">
        <f t="shared" si="31"/>
        <v>2.3967451872327947</v>
      </c>
      <c r="Q32">
        <f t="shared" si="31"/>
        <v>4.5960650347356768</v>
      </c>
      <c r="R32">
        <f t="shared" si="2"/>
        <v>7.1813516167744951E-2</v>
      </c>
    </row>
    <row r="33" spans="1:18" x14ac:dyDescent="0.25">
      <c r="A33">
        <v>32</v>
      </c>
      <c r="B33" t="s">
        <v>55</v>
      </c>
      <c r="C33">
        <v>1</v>
      </c>
      <c r="D33">
        <v>1</v>
      </c>
      <c r="E33">
        <v>1</v>
      </c>
      <c r="F33">
        <v>1</v>
      </c>
      <c r="G33">
        <v>1</v>
      </c>
      <c r="H33">
        <v>-1</v>
      </c>
      <c r="I33">
        <v>-1</v>
      </c>
      <c r="J33">
        <v>15.991047871923969</v>
      </c>
      <c r="K33">
        <f t="shared" ref="K33:Q33" si="32">J64+J65</f>
        <v>30.71300399749903</v>
      </c>
      <c r="L33">
        <f t="shared" si="32"/>
        <v>60.167131052118776</v>
      </c>
      <c r="M33">
        <f t="shared" si="32"/>
        <v>12.009355429426051</v>
      </c>
      <c r="N33">
        <f t="shared" si="32"/>
        <v>12.768146661011798</v>
      </c>
      <c r="O33">
        <f t="shared" si="32"/>
        <v>4.1457173419787665</v>
      </c>
      <c r="P33">
        <f t="shared" si="32"/>
        <v>3.822308169909407</v>
      </c>
      <c r="Q33">
        <f t="shared" si="32"/>
        <v>-3.0038115998204775</v>
      </c>
      <c r="R33">
        <f t="shared" si="2"/>
        <v>-4.6934556247194961E-2</v>
      </c>
    </row>
    <row r="34" spans="1:18" x14ac:dyDescent="0.25">
      <c r="A34">
        <v>33</v>
      </c>
      <c r="B34" t="s">
        <v>56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1</v>
      </c>
      <c r="I34">
        <v>-1</v>
      </c>
      <c r="J34">
        <v>8.15843593737047</v>
      </c>
      <c r="K34">
        <f t="shared" ref="K34:Q34" si="33">J66+J67</f>
        <v>19.988100006986652</v>
      </c>
      <c r="L34">
        <f t="shared" si="33"/>
        <v>2.651017713679261</v>
      </c>
      <c r="M34">
        <f t="shared" si="33"/>
        <v>11.571750806146113</v>
      </c>
      <c r="N34">
        <f t="shared" si="33"/>
        <v>-5.376402241614322</v>
      </c>
      <c r="O34">
        <f t="shared" si="33"/>
        <v>56.869922789056304</v>
      </c>
      <c r="P34">
        <f t="shared" si="33"/>
        <v>-33.218876040558996</v>
      </c>
      <c r="Q34">
        <f t="shared" si="33"/>
        <v>26.106201976738362</v>
      </c>
      <c r="R34">
        <f t="shared" si="2"/>
        <v>0.4079094058865369</v>
      </c>
    </row>
    <row r="35" spans="1:18" x14ac:dyDescent="0.25">
      <c r="A35">
        <v>34</v>
      </c>
      <c r="B35" t="s">
        <v>57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I35">
        <v>-1</v>
      </c>
      <c r="J35">
        <v>9.6310236146876065</v>
      </c>
      <c r="K35">
        <f t="shared" ref="K35:Q35" si="34">J68+J69</f>
        <v>25.334715460170912</v>
      </c>
      <c r="L35">
        <f t="shared" si="34"/>
        <v>1.8964344920998712</v>
      </c>
      <c r="M35">
        <f t="shared" si="34"/>
        <v>25.889384175401737</v>
      </c>
      <c r="N35">
        <f t="shared" si="34"/>
        <v>-1.1689697267985864</v>
      </c>
      <c r="O35">
        <f t="shared" si="34"/>
        <v>62.20995953306192</v>
      </c>
      <c r="P35">
        <f t="shared" si="34"/>
        <v>-32.787383263531495</v>
      </c>
      <c r="Q35">
        <f t="shared" si="34"/>
        <v>11.303018323506368</v>
      </c>
      <c r="R35">
        <f t="shared" ref="R35:R66" si="35">Q35/64</f>
        <v>0.176609661304787</v>
      </c>
    </row>
    <row r="36" spans="1:18" x14ac:dyDescent="0.25">
      <c r="A36">
        <v>35</v>
      </c>
      <c r="B36" t="s">
        <v>58</v>
      </c>
      <c r="C36">
        <v>-1</v>
      </c>
      <c r="D36">
        <v>1</v>
      </c>
      <c r="E36">
        <v>-1</v>
      </c>
      <c r="F36">
        <v>-1</v>
      </c>
      <c r="G36">
        <v>-1</v>
      </c>
      <c r="H36">
        <v>1</v>
      </c>
      <c r="I36">
        <v>-1</v>
      </c>
      <c r="J36">
        <v>11.024764177545141</v>
      </c>
      <c r="K36">
        <f t="shared" ref="K36:Q36" si="36">J70+J71</f>
        <v>19.315397501450676</v>
      </c>
      <c r="L36">
        <f t="shared" si="36"/>
        <v>6.84259818184678</v>
      </c>
      <c r="M36">
        <f t="shared" si="36"/>
        <v>10.766699380420398</v>
      </c>
      <c r="N36">
        <f t="shared" si="36"/>
        <v>-4.9711661844931925</v>
      </c>
      <c r="O36">
        <f t="shared" si="36"/>
        <v>66.059193988662358</v>
      </c>
      <c r="P36">
        <f t="shared" si="36"/>
        <v>-20.094099851567144</v>
      </c>
      <c r="Q36">
        <f t="shared" si="36"/>
        <v>22.57894267989073</v>
      </c>
      <c r="R36">
        <f t="shared" si="35"/>
        <v>0.35279597937329266</v>
      </c>
    </row>
    <row r="37" spans="1:18" x14ac:dyDescent="0.25">
      <c r="A37">
        <v>36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-1</v>
      </c>
      <c r="J37">
        <v>12.373517447424771</v>
      </c>
      <c r="K37">
        <f t="shared" ref="K37:Q37" si="37">J72+J73</f>
        <v>24.525785274908678</v>
      </c>
      <c r="L37">
        <f t="shared" si="37"/>
        <v>6.3457052389054613</v>
      </c>
      <c r="M37">
        <f t="shared" si="37"/>
        <v>16.336766126712629</v>
      </c>
      <c r="N37">
        <f t="shared" si="37"/>
        <v>-1.025546621239684</v>
      </c>
      <c r="O37">
        <f t="shared" si="37"/>
        <v>81.402223035646372</v>
      </c>
      <c r="P37">
        <f t="shared" si="37"/>
        <v>-11.545784462322843</v>
      </c>
      <c r="Q37">
        <f t="shared" si="37"/>
        <v>9.1810323634672848</v>
      </c>
      <c r="R37">
        <f t="shared" si="35"/>
        <v>0.14345363067917632</v>
      </c>
    </row>
    <row r="38" spans="1:18" x14ac:dyDescent="0.25">
      <c r="A38">
        <v>37</v>
      </c>
      <c r="B38" t="s">
        <v>60</v>
      </c>
      <c r="C38">
        <v>-1</v>
      </c>
      <c r="D38">
        <v>-1</v>
      </c>
      <c r="E38">
        <v>1</v>
      </c>
      <c r="F38">
        <v>-1</v>
      </c>
      <c r="G38">
        <v>-1</v>
      </c>
      <c r="H38">
        <v>1</v>
      </c>
      <c r="I38">
        <v>-1</v>
      </c>
      <c r="J38">
        <v>7.9168408880329926</v>
      </c>
      <c r="K38">
        <f t="shared" ref="K38:Q38" si="38">J74+J75</f>
        <v>24.733154230781572</v>
      </c>
      <c r="L38">
        <f t="shared" si="38"/>
        <v>0.87761147770489956</v>
      </c>
      <c r="M38">
        <f t="shared" si="38"/>
        <v>11.504923917388624</v>
      </c>
      <c r="N38">
        <f t="shared" si="38"/>
        <v>-6.6839906918705552</v>
      </c>
      <c r="O38">
        <f t="shared" si="38"/>
        <v>12.189226716543676</v>
      </c>
      <c r="P38">
        <f t="shared" si="38"/>
        <v>-20.19925867365161</v>
      </c>
      <c r="Q38">
        <f t="shared" si="38"/>
        <v>0.30386969055448532</v>
      </c>
      <c r="R38">
        <f t="shared" si="35"/>
        <v>4.7479639149138331E-3</v>
      </c>
    </row>
    <row r="39" spans="1:18" x14ac:dyDescent="0.25">
      <c r="A39">
        <v>38</v>
      </c>
      <c r="B39" t="s">
        <v>61</v>
      </c>
      <c r="C39">
        <v>1</v>
      </c>
      <c r="D39">
        <v>-1</v>
      </c>
      <c r="E39">
        <v>1</v>
      </c>
      <c r="F39">
        <v>-1</v>
      </c>
      <c r="G39">
        <v>-1</v>
      </c>
      <c r="H39">
        <v>1</v>
      </c>
      <c r="I39">
        <v>-1</v>
      </c>
      <c r="J39">
        <v>8.9597195617363781</v>
      </c>
      <c r="K39">
        <f t="shared" ref="K39:Q39" si="39">J76+J77</f>
        <v>41.026646455903887</v>
      </c>
      <c r="L39">
        <f t="shared" si="39"/>
        <v>1.1957452342672035</v>
      </c>
      <c r="M39">
        <f t="shared" si="39"/>
        <v>28.869000856681048</v>
      </c>
      <c r="N39">
        <f t="shared" si="39"/>
        <v>-2.1642226550919546</v>
      </c>
      <c r="O39">
        <f t="shared" si="39"/>
        <v>16.509599257277969</v>
      </c>
      <c r="P39">
        <f t="shared" si="39"/>
        <v>-20.717187649363389</v>
      </c>
      <c r="Q39">
        <f t="shared" si="39"/>
        <v>1.2972771633565587</v>
      </c>
      <c r="R39">
        <f t="shared" si="35"/>
        <v>2.026995567744623E-2</v>
      </c>
    </row>
    <row r="40" spans="1:18" x14ac:dyDescent="0.25">
      <c r="A40">
        <v>39</v>
      </c>
      <c r="B40" t="s">
        <v>62</v>
      </c>
      <c r="C40">
        <v>-1</v>
      </c>
      <c r="D40">
        <v>1</v>
      </c>
      <c r="E40">
        <v>1</v>
      </c>
      <c r="F40">
        <v>-1</v>
      </c>
      <c r="G40">
        <v>-1</v>
      </c>
      <c r="H40">
        <v>1</v>
      </c>
      <c r="I40">
        <v>-1</v>
      </c>
      <c r="J40">
        <v>10.69402906206062</v>
      </c>
      <c r="K40">
        <f t="shared" ref="K40:Q40" si="40">J78+J79</f>
        <v>23.253078494640359</v>
      </c>
      <c r="L40">
        <f t="shared" si="40"/>
        <v>2.3754697885489993</v>
      </c>
      <c r="M40">
        <f t="shared" si="40"/>
        <v>10.702736027658197</v>
      </c>
      <c r="N40">
        <f t="shared" si="40"/>
        <v>-6.5362681119295019</v>
      </c>
      <c r="O40">
        <f t="shared" si="40"/>
        <v>15.624596300646301</v>
      </c>
      <c r="P40">
        <f t="shared" si="40"/>
        <v>-8.9649818171049205</v>
      </c>
      <c r="Q40">
        <f t="shared" si="40"/>
        <v>0.99994243894098744</v>
      </c>
      <c r="R40">
        <f t="shared" si="35"/>
        <v>1.5624100608452929E-2</v>
      </c>
    </row>
    <row r="41" spans="1:18" x14ac:dyDescent="0.25">
      <c r="A41">
        <v>40</v>
      </c>
      <c r="B41" t="s">
        <v>63</v>
      </c>
      <c r="C41">
        <v>1</v>
      </c>
      <c r="D41">
        <v>1</v>
      </c>
      <c r="E41">
        <v>1</v>
      </c>
      <c r="F41">
        <v>-1</v>
      </c>
      <c r="G41">
        <v>-1</v>
      </c>
      <c r="H41">
        <v>1</v>
      </c>
      <c r="I41">
        <v>-1</v>
      </c>
      <c r="J41">
        <v>12.07863323218554</v>
      </c>
      <c r="K41">
        <f t="shared" ref="K41:Q41" si="41">J80+J81</f>
        <v>37.304364190972748</v>
      </c>
      <c r="L41">
        <f t="shared" si="41"/>
        <v>3.2462624249936702</v>
      </c>
      <c r="M41">
        <f t="shared" si="41"/>
        <v>19.829599547174688</v>
      </c>
      <c r="N41">
        <f t="shared" si="41"/>
        <v>-2.5567347071585544</v>
      </c>
      <c r="O41">
        <f t="shared" si="41"/>
        <v>19.970881103501199</v>
      </c>
      <c r="P41">
        <f t="shared" si="41"/>
        <v>-6.1536570887154696E-2</v>
      </c>
      <c r="Q41">
        <f t="shared" si="41"/>
        <v>1.1841961699774357</v>
      </c>
      <c r="R41">
        <f t="shared" si="35"/>
        <v>1.8503065155897433E-2</v>
      </c>
    </row>
    <row r="42" spans="1:18" x14ac:dyDescent="0.25">
      <c r="A42">
        <v>41</v>
      </c>
      <c r="B42" t="s">
        <v>64</v>
      </c>
      <c r="C42">
        <v>-1</v>
      </c>
      <c r="D42">
        <v>-1</v>
      </c>
      <c r="E42">
        <v>-1</v>
      </c>
      <c r="F42">
        <v>1</v>
      </c>
      <c r="G42">
        <v>-1</v>
      </c>
      <c r="H42">
        <v>1</v>
      </c>
      <c r="I42">
        <v>-1</v>
      </c>
      <c r="J42">
        <v>10.549291813532459</v>
      </c>
      <c r="K42">
        <f t="shared" ref="K42:Q42" si="42">J82+J83</f>
        <v>19.175321910739882</v>
      </c>
      <c r="L42">
        <f t="shared" si="42"/>
        <v>2.8213409471967665</v>
      </c>
      <c r="M42">
        <f t="shared" si="42"/>
        <v>10.557003226642262</v>
      </c>
      <c r="N42">
        <f t="shared" si="42"/>
        <v>-1.2514761645207084</v>
      </c>
      <c r="O42">
        <f t="shared" si="42"/>
        <v>19.887700115547855</v>
      </c>
      <c r="P42">
        <f t="shared" si="42"/>
        <v>8.1530520780692441</v>
      </c>
      <c r="Q42">
        <f t="shared" si="42"/>
        <v>20.68306579098963</v>
      </c>
      <c r="R42">
        <f t="shared" si="35"/>
        <v>0.32317290298421297</v>
      </c>
    </row>
    <row r="43" spans="1:18" x14ac:dyDescent="0.25">
      <c r="A43">
        <v>42</v>
      </c>
      <c r="B43" t="s">
        <v>65</v>
      </c>
      <c r="C43">
        <v>1</v>
      </c>
      <c r="D43">
        <v>-1</v>
      </c>
      <c r="E43">
        <v>-1</v>
      </c>
      <c r="F43">
        <v>1</v>
      </c>
      <c r="G43">
        <v>-1</v>
      </c>
      <c r="H43">
        <v>1</v>
      </c>
      <c r="I43">
        <v>-1</v>
      </c>
      <c r="J43">
        <v>11.869185934096221</v>
      </c>
      <c r="K43">
        <f t="shared" ref="K43:Q43" si="43">J84+J85</f>
        <v>23.547467242400238</v>
      </c>
      <c r="L43">
        <f t="shared" si="43"/>
        <v>2.4274828438283054</v>
      </c>
      <c r="M43">
        <f t="shared" si="43"/>
        <v>30.344777921454703</v>
      </c>
      <c r="N43">
        <f t="shared" si="43"/>
        <v>1.1889263930069749</v>
      </c>
      <c r="O43">
        <f t="shared" si="43"/>
        <v>26.490940458808915</v>
      </c>
      <c r="P43">
        <f t="shared" si="43"/>
        <v>8.499301441549548</v>
      </c>
      <c r="Q43">
        <f t="shared" si="43"/>
        <v>8.6666573435891916</v>
      </c>
      <c r="R43">
        <f t="shared" si="35"/>
        <v>0.13541652099358112</v>
      </c>
    </row>
    <row r="44" spans="1:18" x14ac:dyDescent="0.25">
      <c r="A44">
        <v>43</v>
      </c>
      <c r="B44" t="s">
        <v>66</v>
      </c>
      <c r="C44">
        <v>-1</v>
      </c>
      <c r="D44">
        <v>1</v>
      </c>
      <c r="E44">
        <v>-1</v>
      </c>
      <c r="F44">
        <v>1</v>
      </c>
      <c r="G44">
        <v>-1</v>
      </c>
      <c r="H44">
        <v>1</v>
      </c>
      <c r="I44">
        <v>-1</v>
      </c>
      <c r="J44">
        <v>15.174230670109671</v>
      </c>
      <c r="K44">
        <f t="shared" ref="K44:Q44" si="44">J86+J87</f>
        <v>19.050305085754573</v>
      </c>
      <c r="L44">
        <f t="shared" si="44"/>
        <v>8.1400965357047106</v>
      </c>
      <c r="M44">
        <f t="shared" si="44"/>
        <v>8.4130542006542228</v>
      </c>
      <c r="N44">
        <f t="shared" si="44"/>
        <v>-1.1246359480494599</v>
      </c>
      <c r="O44">
        <f t="shared" si="44"/>
        <v>32.558929042222594</v>
      </c>
      <c r="P44">
        <f t="shared" si="44"/>
        <v>4.6157793109791116</v>
      </c>
      <c r="Q44">
        <f t="shared" si="44"/>
        <v>21.373131768463612</v>
      </c>
      <c r="R44">
        <f t="shared" si="35"/>
        <v>0.33395518388224393</v>
      </c>
    </row>
    <row r="45" spans="1:18" x14ac:dyDescent="0.25">
      <c r="A45">
        <v>44</v>
      </c>
      <c r="B45" t="s">
        <v>67</v>
      </c>
      <c r="C45">
        <v>1</v>
      </c>
      <c r="D45">
        <v>1</v>
      </c>
      <c r="E45">
        <v>-1</v>
      </c>
      <c r="F45">
        <v>1</v>
      </c>
      <c r="G45">
        <v>-1</v>
      </c>
      <c r="H45">
        <v>1</v>
      </c>
      <c r="I45">
        <v>-1</v>
      </c>
      <c r="J45">
        <v>21.99443308525062</v>
      </c>
      <c r="K45">
        <f t="shared" ref="K45:Q45" si="45">J88+J89</f>
        <v>23.09121395474844</v>
      </c>
      <c r="L45">
        <f t="shared" si="45"/>
        <v>7.4093186910237119</v>
      </c>
      <c r="M45">
        <f t="shared" si="45"/>
        <v>21.184208548064376</v>
      </c>
      <c r="N45">
        <f t="shared" si="45"/>
        <v>1.0507408054019685</v>
      </c>
      <c r="O45">
        <f t="shared" si="45"/>
        <v>47.328820467425146</v>
      </c>
      <c r="P45">
        <f t="shared" si="45"/>
        <v>3.3083573608703585</v>
      </c>
      <c r="Q45">
        <f t="shared" si="45"/>
        <v>9.2004931731967918</v>
      </c>
      <c r="R45">
        <f t="shared" si="35"/>
        <v>0.14375770583119987</v>
      </c>
    </row>
    <row r="46" spans="1:18" x14ac:dyDescent="0.25">
      <c r="A46">
        <v>45</v>
      </c>
      <c r="B46" t="s">
        <v>68</v>
      </c>
      <c r="C46">
        <v>-1</v>
      </c>
      <c r="D46">
        <v>-1</v>
      </c>
      <c r="E46">
        <v>1</v>
      </c>
      <c r="F46">
        <v>1</v>
      </c>
      <c r="G46">
        <v>-1</v>
      </c>
      <c r="H46">
        <v>1</v>
      </c>
      <c r="I46">
        <v>-1</v>
      </c>
      <c r="J46">
        <v>10.27082332776452</v>
      </c>
      <c r="K46">
        <f t="shared" ref="K46:Q46" si="46">J90+J91</f>
        <v>23.280026832060528</v>
      </c>
      <c r="L46">
        <f t="shared" si="46"/>
        <v>0.9821297725619953</v>
      </c>
      <c r="M46">
        <f t="shared" si="46"/>
        <v>10.632551396338187</v>
      </c>
      <c r="N46">
        <f t="shared" si="46"/>
        <v>-1.4463484430629787</v>
      </c>
      <c r="O46">
        <f t="shared" si="46"/>
        <v>13.197282077478548</v>
      </c>
      <c r="P46">
        <f t="shared" si="46"/>
        <v>1.0862185267202413</v>
      </c>
      <c r="Q46">
        <f t="shared" si="46"/>
        <v>-0.32114337014655092</v>
      </c>
      <c r="R46">
        <f t="shared" si="35"/>
        <v>-5.0178651585398582E-3</v>
      </c>
    </row>
    <row r="47" spans="1:18" x14ac:dyDescent="0.25">
      <c r="A47">
        <v>46</v>
      </c>
      <c r="B47" t="s">
        <v>69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10.74701612351488</v>
      </c>
      <c r="K47">
        <f t="shared" ref="K47:Q47" si="47">J92+J93</f>
        <v>34.396577965928813</v>
      </c>
      <c r="L47">
        <f t="shared" si="47"/>
        <v>1.2857692502521711</v>
      </c>
      <c r="M47">
        <f t="shared" si="47"/>
        <v>37.441946586896634</v>
      </c>
      <c r="N47">
        <f t="shared" si="47"/>
        <v>0.61750420017364149</v>
      </c>
      <c r="O47">
        <f t="shared" si="47"/>
        <v>18.530077627831187</v>
      </c>
      <c r="P47">
        <f t="shared" si="47"/>
        <v>1.3306474769863073</v>
      </c>
      <c r="Q47">
        <f t="shared" si="47"/>
        <v>0.90871808605648408</v>
      </c>
      <c r="R47">
        <f t="shared" si="35"/>
        <v>1.4198720094632564E-2</v>
      </c>
    </row>
    <row r="48" spans="1:18" x14ac:dyDescent="0.25">
      <c r="A48">
        <v>47</v>
      </c>
      <c r="B48" t="s">
        <v>70</v>
      </c>
      <c r="C48">
        <v>-1</v>
      </c>
      <c r="D48">
        <v>1</v>
      </c>
      <c r="E48">
        <v>1</v>
      </c>
      <c r="F48">
        <v>1</v>
      </c>
      <c r="G48">
        <v>-1</v>
      </c>
      <c r="H48">
        <v>1</v>
      </c>
      <c r="I48">
        <v>-1</v>
      </c>
      <c r="J48">
        <v>14.101764202477741</v>
      </c>
      <c r="K48">
        <f t="shared" ref="K48:Q48" si="48">J94+J95</f>
        <v>23.012997420669201</v>
      </c>
      <c r="L48">
        <f t="shared" si="48"/>
        <v>3.8649027583384967</v>
      </c>
      <c r="M48">
        <f t="shared" si="48"/>
        <v>9.07120172819155</v>
      </c>
      <c r="N48">
        <f t="shared" si="48"/>
        <v>-0.38236321301637943</v>
      </c>
      <c r="O48">
        <f t="shared" si="48"/>
        <v>14.078407538281235</v>
      </c>
      <c r="P48">
        <f t="shared" si="48"/>
        <v>-0.89340956762409451</v>
      </c>
      <c r="Q48">
        <f t="shared" si="48"/>
        <v>0.31438019987913535</v>
      </c>
      <c r="R48">
        <f t="shared" si="35"/>
        <v>4.9121906231114898E-3</v>
      </c>
    </row>
    <row r="49" spans="1:18" x14ac:dyDescent="0.25">
      <c r="A49">
        <v>48</v>
      </c>
      <c r="B49" t="s">
        <v>71</v>
      </c>
      <c r="C49">
        <v>1</v>
      </c>
      <c r="D49">
        <v>1</v>
      </c>
      <c r="E49">
        <v>1</v>
      </c>
      <c r="F49">
        <v>1</v>
      </c>
      <c r="G49">
        <v>-1</v>
      </c>
      <c r="H49">
        <v>1</v>
      </c>
      <c r="I49">
        <v>-1</v>
      </c>
      <c r="J49">
        <v>21.034890097751092</v>
      </c>
      <c r="K49">
        <f t="shared" ref="K49:Q49" si="49">J96+J97</f>
        <v>33.080654834865292</v>
      </c>
      <c r="L49">
        <f t="shared" si="49"/>
        <v>4.6120040860502893</v>
      </c>
      <c r="M49">
        <f t="shared" si="49"/>
        <v>29.590627005058248</v>
      </c>
      <c r="N49">
        <f t="shared" si="49"/>
        <v>0.86214150461735883</v>
      </c>
      <c r="O49">
        <f t="shared" si="49"/>
        <v>17.946105161125388</v>
      </c>
      <c r="P49">
        <f t="shared" si="49"/>
        <v>-3.5830035791781594</v>
      </c>
      <c r="Q49">
        <f t="shared" si="49"/>
        <v>1.3880248064548555</v>
      </c>
      <c r="R49">
        <f t="shared" si="35"/>
        <v>2.1687887600857117E-2</v>
      </c>
    </row>
    <row r="50" spans="1:18" x14ac:dyDescent="0.25">
      <c r="A50">
        <v>49</v>
      </c>
      <c r="B50" t="s">
        <v>72</v>
      </c>
      <c r="C50">
        <v>-1</v>
      </c>
      <c r="D50">
        <v>-1</v>
      </c>
      <c r="E50">
        <v>-1</v>
      </c>
      <c r="F50">
        <v>-1</v>
      </c>
      <c r="G50">
        <v>1</v>
      </c>
      <c r="H50">
        <v>1</v>
      </c>
      <c r="I50">
        <v>-1</v>
      </c>
      <c r="J50">
        <v>8.0515870128767375</v>
      </c>
      <c r="K50">
        <f t="shared" ref="K50:Q50" si="50">J98+J99</f>
        <v>20.064974071021084</v>
      </c>
      <c r="L50">
        <f t="shared" si="50"/>
        <v>2.2705852697857178</v>
      </c>
      <c r="M50">
        <f t="shared" si="50"/>
        <v>8.2736597809367041E-2</v>
      </c>
      <c r="N50">
        <f t="shared" si="50"/>
        <v>-0.90553451477045854</v>
      </c>
      <c r="O50">
        <f t="shared" si="50"/>
        <v>-1.495515156717488</v>
      </c>
      <c r="P50">
        <f t="shared" si="50"/>
        <v>-15.485129995577708</v>
      </c>
      <c r="Q50">
        <f t="shared" si="50"/>
        <v>0.76069967621330647</v>
      </c>
      <c r="R50">
        <f t="shared" si="35"/>
        <v>1.1885932440832914E-2</v>
      </c>
    </row>
    <row r="51" spans="1:18" x14ac:dyDescent="0.25">
      <c r="A51">
        <v>50</v>
      </c>
      <c r="B51" t="s">
        <v>73</v>
      </c>
      <c r="C51">
        <v>1</v>
      </c>
      <c r="D51">
        <v>-1</v>
      </c>
      <c r="E51">
        <v>-1</v>
      </c>
      <c r="F51">
        <v>-1</v>
      </c>
      <c r="G51">
        <v>1</v>
      </c>
      <c r="H51">
        <v>1</v>
      </c>
      <c r="I51">
        <v>-1</v>
      </c>
      <c r="J51">
        <v>8.4964124480339223</v>
      </c>
      <c r="K51">
        <f t="shared" ref="K51:Q51" si="51">J100+J101</f>
        <v>25.467784644859591</v>
      </c>
      <c r="L51">
        <f t="shared" si="51"/>
        <v>1.619281462610628</v>
      </c>
      <c r="M51">
        <f t="shared" si="51"/>
        <v>9.5502276883003603</v>
      </c>
      <c r="N51">
        <f t="shared" si="51"/>
        <v>-0.21694823370102156</v>
      </c>
      <c r="O51">
        <f t="shared" si="51"/>
        <v>-1.9270461192646948</v>
      </c>
      <c r="P51">
        <f t="shared" si="51"/>
        <v>-16.492924207944696</v>
      </c>
      <c r="Q51">
        <f t="shared" si="51"/>
        <v>3.5264415676669199</v>
      </c>
      <c r="R51">
        <f t="shared" si="35"/>
        <v>5.5100649494795623E-2</v>
      </c>
    </row>
    <row r="52" spans="1:18" x14ac:dyDescent="0.25">
      <c r="A52">
        <v>51</v>
      </c>
      <c r="B52" t="s">
        <v>74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10.65533158550728</v>
      </c>
      <c r="K52">
        <f t="shared" ref="K52:Q52" si="52">J102+J103</f>
        <v>19.365066440079161</v>
      </c>
      <c r="L52">
        <f t="shared" si="52"/>
        <v>6.9387530974516398</v>
      </c>
      <c r="M52">
        <f t="shared" si="52"/>
        <v>0.6850256701768771</v>
      </c>
      <c r="N52">
        <f t="shared" si="52"/>
        <v>-0.34409138721722599</v>
      </c>
      <c r="O52">
        <f t="shared" si="52"/>
        <v>-4.7224077400918674</v>
      </c>
      <c r="P52">
        <f t="shared" si="52"/>
        <v>-9.1840593275312727</v>
      </c>
      <c r="Q52">
        <f t="shared" si="52"/>
        <v>2.4079294245713818</v>
      </c>
      <c r="R52">
        <f t="shared" si="35"/>
        <v>3.7623897258927841E-2</v>
      </c>
    </row>
    <row r="53" spans="1:18" x14ac:dyDescent="0.25">
      <c r="A53">
        <v>52</v>
      </c>
      <c r="B53" t="s">
        <v>75</v>
      </c>
      <c r="C53">
        <v>1</v>
      </c>
      <c r="D53">
        <v>1</v>
      </c>
      <c r="E53">
        <v>-1</v>
      </c>
      <c r="F53">
        <v>-1</v>
      </c>
      <c r="G53">
        <v>1</v>
      </c>
      <c r="H53">
        <v>1</v>
      </c>
      <c r="I53">
        <v>-1</v>
      </c>
      <c r="J53">
        <v>11.192635922912091</v>
      </c>
      <c r="K53">
        <f t="shared" ref="K53:Q53" si="53">J104+J105</f>
        <v>24.59480726257884</v>
      </c>
      <c r="L53">
        <f t="shared" si="53"/>
        <v>6.1437084615637509</v>
      </c>
      <c r="M53">
        <f t="shared" si="53"/>
        <v>4.4148166571644314</v>
      </c>
      <c r="N53">
        <f t="shared" si="53"/>
        <v>5.3540858433578364E-2</v>
      </c>
      <c r="O53">
        <f t="shared" si="53"/>
        <v>-4.6120201476912115</v>
      </c>
      <c r="P53">
        <f t="shared" si="53"/>
        <v>-2.2837428494854759</v>
      </c>
      <c r="Q53">
        <f t="shared" si="53"/>
        <v>4.6646329762047056</v>
      </c>
      <c r="R53">
        <f t="shared" si="35"/>
        <v>7.2884890253198525E-2</v>
      </c>
    </row>
    <row r="54" spans="1:18" x14ac:dyDescent="0.25">
      <c r="A54">
        <v>53</v>
      </c>
      <c r="B54" t="s">
        <v>76</v>
      </c>
      <c r="C54">
        <v>-1</v>
      </c>
      <c r="D54">
        <v>-1</v>
      </c>
      <c r="E54">
        <v>1</v>
      </c>
      <c r="F54">
        <v>-1</v>
      </c>
      <c r="G54">
        <v>1</v>
      </c>
      <c r="H54">
        <v>1</v>
      </c>
      <c r="I54">
        <v>-1</v>
      </c>
      <c r="J54">
        <v>7.8987271443688627</v>
      </c>
      <c r="K54">
        <f t="shared" ref="K54:Q54" si="54">J106+J107</f>
        <v>25.01240383945688</v>
      </c>
      <c r="L54">
        <f t="shared" si="54"/>
        <v>0.64885082885314027</v>
      </c>
      <c r="M54">
        <f t="shared" si="54"/>
        <v>0.21789108898402798</v>
      </c>
      <c r="N54">
        <f t="shared" si="54"/>
        <v>-2.3784342085161825</v>
      </c>
      <c r="O54">
        <f t="shared" si="54"/>
        <v>0.8103491585204381</v>
      </c>
      <c r="P54">
        <f t="shared" si="54"/>
        <v>-16.984780042739327</v>
      </c>
      <c r="Q54">
        <f t="shared" si="54"/>
        <v>-0.80204758356988037</v>
      </c>
      <c r="R54">
        <f t="shared" si="35"/>
        <v>-1.2531993493279381E-2</v>
      </c>
    </row>
    <row r="55" spans="1:18" x14ac:dyDescent="0.25">
      <c r="A55">
        <v>54</v>
      </c>
      <c r="B55" t="s">
        <v>77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8.3497148951105942</v>
      </c>
      <c r="K55">
        <f t="shared" ref="K55:Q55" si="55">J108+J109</f>
        <v>44.627566662838412</v>
      </c>
      <c r="L55">
        <f t="shared" si="55"/>
        <v>0.85006445995817259</v>
      </c>
      <c r="M55">
        <f t="shared" si="55"/>
        <v>11.957241394100178</v>
      </c>
      <c r="N55">
        <f t="shared" si="55"/>
        <v>-1.3801301823386822</v>
      </c>
      <c r="O55">
        <f t="shared" si="55"/>
        <v>0.10654210870907921</v>
      </c>
      <c r="P55">
        <f t="shared" si="55"/>
        <v>-13.306590261094037</v>
      </c>
      <c r="Q55">
        <f t="shared" si="55"/>
        <v>-1.0843737296791369</v>
      </c>
      <c r="R55">
        <f t="shared" si="35"/>
        <v>-1.6943339526236514E-2</v>
      </c>
    </row>
    <row r="56" spans="1:18" x14ac:dyDescent="0.25">
      <c r="A56">
        <v>55</v>
      </c>
      <c r="B56" t="s">
        <v>78</v>
      </c>
      <c r="C56">
        <v>-1</v>
      </c>
      <c r="D56">
        <v>1</v>
      </c>
      <c r="E56">
        <v>1</v>
      </c>
      <c r="F56">
        <v>-1</v>
      </c>
      <c r="G56">
        <v>1</v>
      </c>
      <c r="H56">
        <v>1</v>
      </c>
      <c r="I56">
        <v>-1</v>
      </c>
      <c r="J56">
        <v>10.40821426005925</v>
      </c>
      <c r="K56">
        <f t="shared" ref="K56:Q56" si="56">J110+J111</f>
        <v>23.424901820036681</v>
      </c>
      <c r="L56">
        <f t="shared" si="56"/>
        <v>3.7573130968849799</v>
      </c>
      <c r="M56">
        <f t="shared" si="56"/>
        <v>0.47627265101633398</v>
      </c>
      <c r="N56">
        <f t="shared" si="56"/>
        <v>-1.9614488112052584</v>
      </c>
      <c r="O56">
        <f t="shared" si="56"/>
        <v>7.1336109250777824E-2</v>
      </c>
      <c r="P56">
        <f t="shared" si="56"/>
        <v>-10.686323085904554</v>
      </c>
      <c r="Q56">
        <f t="shared" si="56"/>
        <v>-0.95691461078732587</v>
      </c>
      <c r="R56">
        <f t="shared" si="35"/>
        <v>-1.4951790793551967E-2</v>
      </c>
    </row>
    <row r="57" spans="1:18" x14ac:dyDescent="0.25">
      <c r="A57">
        <v>56</v>
      </c>
      <c r="B57" t="s">
        <v>79</v>
      </c>
      <c r="C57">
        <v>1</v>
      </c>
      <c r="D57">
        <v>1</v>
      </c>
      <c r="E57">
        <v>1</v>
      </c>
      <c r="F57">
        <v>-1</v>
      </c>
      <c r="G57">
        <v>1</v>
      </c>
      <c r="H57">
        <v>1</v>
      </c>
      <c r="I57">
        <v>-1</v>
      </c>
      <c r="J57">
        <v>11.242995759569689</v>
      </c>
      <c r="K57">
        <f t="shared" ref="K57:Q57" si="57">J112+J113</f>
        <v>41.251685583551783</v>
      </c>
      <c r="L57">
        <f t="shared" si="57"/>
        <v>4.1736036659535891</v>
      </c>
      <c r="M57">
        <f t="shared" si="57"/>
        <v>7.2669999737313695</v>
      </c>
      <c r="N57">
        <f t="shared" si="57"/>
        <v>-1.6291053603964514</v>
      </c>
      <c r="O57">
        <f t="shared" si="57"/>
        <v>1.6838612451186208</v>
      </c>
      <c r="P57">
        <f t="shared" si="57"/>
        <v>0.63375002375579292</v>
      </c>
      <c r="Q57">
        <f t="shared" si="57"/>
        <v>-0.69618023973355658</v>
      </c>
      <c r="R57">
        <f t="shared" si="35"/>
        <v>-1.0877816245836822E-2</v>
      </c>
    </row>
    <row r="58" spans="1:18" x14ac:dyDescent="0.25">
      <c r="A58">
        <v>57</v>
      </c>
      <c r="B58" t="s">
        <v>80</v>
      </c>
      <c r="C58">
        <v>-1</v>
      </c>
      <c r="D58">
        <v>-1</v>
      </c>
      <c r="E58">
        <v>-1</v>
      </c>
      <c r="F58">
        <v>1</v>
      </c>
      <c r="G58">
        <v>1</v>
      </c>
      <c r="H58">
        <v>1</v>
      </c>
      <c r="I58">
        <v>-1</v>
      </c>
      <c r="J58">
        <v>10.368236007747701</v>
      </c>
      <c r="K58">
        <f t="shared" ref="K58:Q58" si="58">J114+J115</f>
        <v>19.234319526528211</v>
      </c>
      <c r="L58">
        <f t="shared" si="58"/>
        <v>2.3777925969957074</v>
      </c>
      <c r="M58">
        <f t="shared" si="58"/>
        <v>1.4643667119913566</v>
      </c>
      <c r="N58">
        <f t="shared" si="58"/>
        <v>1.8640542817130896</v>
      </c>
      <c r="O58">
        <f t="shared" si="58"/>
        <v>-1.1974298423480967</v>
      </c>
      <c r="P58">
        <f t="shared" si="58"/>
        <v>3.9675972365965393</v>
      </c>
      <c r="Q58">
        <f t="shared" si="58"/>
        <v>0.28803205774401874</v>
      </c>
      <c r="R58">
        <f t="shared" si="35"/>
        <v>4.5005009022502929E-3</v>
      </c>
    </row>
    <row r="59" spans="1:18" x14ac:dyDescent="0.25">
      <c r="A59">
        <v>58</v>
      </c>
      <c r="B59" t="s">
        <v>81</v>
      </c>
      <c r="C59">
        <v>1</v>
      </c>
      <c r="D59">
        <v>-1</v>
      </c>
      <c r="E59">
        <v>-1</v>
      </c>
      <c r="F59">
        <v>1</v>
      </c>
      <c r="G59">
        <v>1</v>
      </c>
      <c r="H59">
        <v>1</v>
      </c>
      <c r="I59">
        <v>-1</v>
      </c>
      <c r="J59">
        <v>10.69458407167301</v>
      </c>
      <c r="K59">
        <f t="shared" ref="K59:Q59" si="59">J116+J117</f>
        <v>23.922030105019189</v>
      </c>
      <c r="L59">
        <f t="shared" si="59"/>
        <v>1.6477663919602392</v>
      </c>
      <c r="M59">
        <f t="shared" si="59"/>
        <v>9.3368312999208118</v>
      </c>
      <c r="N59">
        <f t="shared" si="59"/>
        <v>1.2589278636171439</v>
      </c>
      <c r="O59">
        <f t="shared" si="59"/>
        <v>-1.0707099371950974</v>
      </c>
      <c r="P59">
        <f t="shared" si="59"/>
        <v>4.8880189037334816</v>
      </c>
      <c r="Q59">
        <f t="shared" si="59"/>
        <v>4.2383359549719142</v>
      </c>
      <c r="R59">
        <f t="shared" si="35"/>
        <v>6.6223999296436159E-2</v>
      </c>
    </row>
    <row r="60" spans="1:18" x14ac:dyDescent="0.25">
      <c r="A60">
        <v>59</v>
      </c>
      <c r="B60" t="s">
        <v>82</v>
      </c>
      <c r="C60">
        <v>-1</v>
      </c>
      <c r="D60">
        <v>1</v>
      </c>
      <c r="E60">
        <v>-1</v>
      </c>
      <c r="F60">
        <v>1</v>
      </c>
      <c r="G60">
        <v>1</v>
      </c>
      <c r="H60">
        <v>1</v>
      </c>
      <c r="I60">
        <v>-1</v>
      </c>
      <c r="J60">
        <v>13.73184734784923</v>
      </c>
      <c r="K60">
        <f t="shared" ref="K60:Q60" si="60">J118+J119</f>
        <v>19.052626079685538</v>
      </c>
      <c r="L60">
        <f t="shared" si="60"/>
        <v>6.7124556485671505</v>
      </c>
      <c r="M60">
        <f t="shared" si="60"/>
        <v>1.1414006691152085</v>
      </c>
      <c r="N60">
        <f t="shared" si="60"/>
        <v>1.4221847088048429</v>
      </c>
      <c r="O60">
        <f t="shared" si="60"/>
        <v>-2.8236361060693724</v>
      </c>
      <c r="P60">
        <f t="shared" si="60"/>
        <v>1.0753501925784503</v>
      </c>
      <c r="Q60">
        <f t="shared" si="60"/>
        <v>1.2370036368979989</v>
      </c>
      <c r="R60">
        <f t="shared" si="35"/>
        <v>1.9328181826531232E-2</v>
      </c>
    </row>
    <row r="61" spans="1:18" x14ac:dyDescent="0.25">
      <c r="A61">
        <v>60</v>
      </c>
      <c r="B61" t="s">
        <v>83</v>
      </c>
      <c r="C61">
        <v>1</v>
      </c>
      <c r="D61">
        <v>1</v>
      </c>
      <c r="E61">
        <v>-1</v>
      </c>
      <c r="F61">
        <v>1</v>
      </c>
      <c r="G61">
        <v>1</v>
      </c>
      <c r="H61">
        <v>1</v>
      </c>
      <c r="I61">
        <v>-1</v>
      </c>
      <c r="J61">
        <v>17.270402042262418</v>
      </c>
      <c r="K61">
        <f t="shared" ref="K61:Q61" si="61">J120+J121</f>
        <v>23.43611722938611</v>
      </c>
      <c r="L61">
        <f t="shared" si="61"/>
        <v>7.0601186405862393</v>
      </c>
      <c r="M61">
        <f t="shared" si="61"/>
        <v>7.3473436194669883</v>
      </c>
      <c r="N61">
        <f t="shared" si="61"/>
        <v>1.1339015592766941</v>
      </c>
      <c r="O61">
        <f t="shared" si="61"/>
        <v>-2.6359758113432363</v>
      </c>
      <c r="P61">
        <f t="shared" si="61"/>
        <v>-0.11269938231411736</v>
      </c>
      <c r="Q61">
        <f t="shared" si="61"/>
        <v>4.7558704200134674</v>
      </c>
      <c r="R61">
        <f t="shared" si="35"/>
        <v>7.4310475312710428E-2</v>
      </c>
    </row>
    <row r="62" spans="1:18" x14ac:dyDescent="0.25">
      <c r="A62">
        <v>61</v>
      </c>
      <c r="B62" t="s">
        <v>84</v>
      </c>
      <c r="C62">
        <v>-1</v>
      </c>
      <c r="D62">
        <v>-1</v>
      </c>
      <c r="E62">
        <v>1</v>
      </c>
      <c r="F62">
        <v>1</v>
      </c>
      <c r="G62">
        <v>1</v>
      </c>
      <c r="H62">
        <v>1</v>
      </c>
      <c r="I62">
        <v>-1</v>
      </c>
      <c r="J62">
        <v>10.27211419480594</v>
      </c>
      <c r="K62">
        <f t="shared" ref="K62:Q62" si="62">J122+J123</f>
        <v>23.29925148423472</v>
      </c>
      <c r="L62">
        <f t="shared" si="62"/>
        <v>0.82875244892282396</v>
      </c>
      <c r="M62">
        <f t="shared" si="62"/>
        <v>1.3471563793365107</v>
      </c>
      <c r="N62">
        <f t="shared" si="62"/>
        <v>1.8398076650955186</v>
      </c>
      <c r="O62">
        <f t="shared" si="62"/>
        <v>1.3544084199115041</v>
      </c>
      <c r="P62">
        <f t="shared" si="62"/>
        <v>2.6131006369657506</v>
      </c>
      <c r="Q62">
        <f t="shared" si="62"/>
        <v>-0.79523905843209519</v>
      </c>
      <c r="R62">
        <f t="shared" si="35"/>
        <v>-1.2425610288001487E-2</v>
      </c>
    </row>
    <row r="63" spans="1:18" x14ac:dyDescent="0.25">
      <c r="A63">
        <v>62</v>
      </c>
      <c r="B63" t="s">
        <v>85</v>
      </c>
      <c r="C63">
        <v>1</v>
      </c>
      <c r="D63">
        <v>-1</v>
      </c>
      <c r="E63">
        <v>1</v>
      </c>
      <c r="F63">
        <v>1</v>
      </c>
      <c r="G63">
        <v>1</v>
      </c>
      <c r="H63">
        <v>1</v>
      </c>
      <c r="I63">
        <v>-1</v>
      </c>
      <c r="J63">
        <v>10.55071956620934</v>
      </c>
      <c r="K63">
        <f t="shared" ref="K63:Q63" si="63">J124+J125</f>
        <v>38.757007952566866</v>
      </c>
      <c r="L63">
        <f t="shared" si="63"/>
        <v>0.95673717719947149</v>
      </c>
      <c r="M63">
        <f t="shared" si="63"/>
        <v>9.1700731292324704</v>
      </c>
      <c r="N63">
        <f t="shared" si="63"/>
        <v>0.55481762965711567</v>
      </c>
      <c r="O63">
        <f t="shared" si="63"/>
        <v>1.0423367673212907</v>
      </c>
      <c r="P63">
        <f t="shared" si="63"/>
        <v>1.9829643977699263</v>
      </c>
      <c r="Q63">
        <f t="shared" si="63"/>
        <v>-0.34492192557701085</v>
      </c>
      <c r="R63">
        <f t="shared" si="35"/>
        <v>-5.3894050871407945E-3</v>
      </c>
    </row>
    <row r="64" spans="1:18" x14ac:dyDescent="0.25">
      <c r="A64">
        <v>63</v>
      </c>
      <c r="B64" t="s">
        <v>86</v>
      </c>
      <c r="C64">
        <v>-1</v>
      </c>
      <c r="D64">
        <v>1</v>
      </c>
      <c r="E64">
        <v>1</v>
      </c>
      <c r="F64">
        <v>1</v>
      </c>
      <c r="G64">
        <v>1</v>
      </c>
      <c r="H64">
        <v>1</v>
      </c>
      <c r="I64">
        <v>-1</v>
      </c>
      <c r="J64">
        <v>13.18980264142607</v>
      </c>
      <c r="K64">
        <f t="shared" ref="K64:Q64" si="64">J126+J127</f>
        <v>23.017130257696337</v>
      </c>
      <c r="L64">
        <f t="shared" si="64"/>
        <v>5.63759932654267</v>
      </c>
      <c r="M64">
        <f t="shared" si="64"/>
        <v>1.3224791248911849</v>
      </c>
      <c r="N64">
        <f t="shared" si="64"/>
        <v>3.2218654428592615</v>
      </c>
      <c r="O64">
        <f t="shared" si="64"/>
        <v>1.0611058554321691</v>
      </c>
      <c r="P64">
        <f t="shared" si="64"/>
        <v>5.8768519697449229E-2</v>
      </c>
      <c r="Q64">
        <f t="shared" si="64"/>
        <v>-1.8735955763134093</v>
      </c>
      <c r="R64">
        <f t="shared" si="35"/>
        <v>-2.9274930879897021E-2</v>
      </c>
    </row>
    <row r="65" spans="1:18" x14ac:dyDescent="0.25">
      <c r="A65">
        <v>64</v>
      </c>
      <c r="B65" t="s">
        <v>87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17.52320135607296</v>
      </c>
      <c r="K65">
        <f t="shared" ref="K65:Q65" si="65">J128+J129</f>
        <v>37.150000794422439</v>
      </c>
      <c r="L65">
        <f t="shared" si="65"/>
        <v>6.3717561028833813</v>
      </c>
      <c r="M65">
        <f t="shared" si="65"/>
        <v>11.445667536120613</v>
      </c>
      <c r="N65">
        <f t="shared" si="65"/>
        <v>0.92385189911950505</v>
      </c>
      <c r="O65">
        <f t="shared" si="65"/>
        <v>2.761202314477238</v>
      </c>
      <c r="P65">
        <f t="shared" si="65"/>
        <v>-3.0625801195179267</v>
      </c>
      <c r="Q65">
        <f t="shared" si="65"/>
        <v>-1.0888929305818431</v>
      </c>
      <c r="R65">
        <f t="shared" si="35"/>
        <v>-1.7013952040341299E-2</v>
      </c>
    </row>
    <row r="66" spans="1:18" x14ac:dyDescent="0.25">
      <c r="A66">
        <v>65</v>
      </c>
      <c r="B66" t="s">
        <v>88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1</v>
      </c>
      <c r="J66">
        <v>9.5574967567461329</v>
      </c>
      <c r="K66">
        <f t="shared" ref="K66:Q66" si="66">J3-J2</f>
        <v>1.453091063516311</v>
      </c>
      <c r="L66">
        <f t="shared" si="66"/>
        <v>5.6317667122888366</v>
      </c>
      <c r="M66">
        <f t="shared" si="66"/>
        <v>-1.7877261518966208</v>
      </c>
      <c r="N66">
        <f t="shared" si="66"/>
        <v>32.377834825394288</v>
      </c>
      <c r="O66">
        <f t="shared" si="66"/>
        <v>-16.536803121503397</v>
      </c>
      <c r="P66">
        <f t="shared" si="66"/>
        <v>8.5443350857589735</v>
      </c>
      <c r="Q66">
        <f t="shared" si="66"/>
        <v>101.38756483865154</v>
      </c>
      <c r="R66">
        <f t="shared" si="35"/>
        <v>1.5841807006039303</v>
      </c>
    </row>
    <row r="67" spans="1:18" x14ac:dyDescent="0.25">
      <c r="A67">
        <v>66</v>
      </c>
      <c r="B67" t="s">
        <v>89</v>
      </c>
      <c r="C67">
        <v>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1</v>
      </c>
      <c r="J67">
        <v>10.430603250240519</v>
      </c>
      <c r="K67">
        <f t="shared" ref="K67:Q67" si="67">J5-J4</f>
        <v>1.19792665016295</v>
      </c>
      <c r="L67">
        <f t="shared" si="67"/>
        <v>5.9399840938572765</v>
      </c>
      <c r="M67">
        <f t="shared" si="67"/>
        <v>-3.5886760897177012</v>
      </c>
      <c r="N67">
        <f t="shared" si="67"/>
        <v>24.492087963662016</v>
      </c>
      <c r="O67">
        <f t="shared" si="67"/>
        <v>-16.682072919055599</v>
      </c>
      <c r="P67">
        <f t="shared" si="67"/>
        <v>17.561866890979388</v>
      </c>
      <c r="Q67">
        <f t="shared" si="67"/>
        <v>1.0212492397167026</v>
      </c>
      <c r="R67">
        <f t="shared" ref="R67:R98" si="68">Q67/64</f>
        <v>1.5957019370573478E-2</v>
      </c>
    </row>
    <row r="68" spans="1:18" x14ac:dyDescent="0.25">
      <c r="A68">
        <v>67</v>
      </c>
      <c r="B68" t="s">
        <v>90</v>
      </c>
      <c r="C68">
        <v>-1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1</v>
      </c>
      <c r="J68">
        <v>11.96861834193979</v>
      </c>
      <c r="K68">
        <f t="shared" ref="K68:Q68" si="69">J7-J6</f>
        <v>0.77926674046857158</v>
      </c>
      <c r="L68">
        <f t="shared" si="69"/>
        <v>13.551568035870318</v>
      </c>
      <c r="M68">
        <f t="shared" si="69"/>
        <v>-0.7372022539510894</v>
      </c>
      <c r="N68">
        <f t="shared" si="69"/>
        <v>34.904671333453678</v>
      </c>
      <c r="O68">
        <f t="shared" si="69"/>
        <v>-16.846676368648502</v>
      </c>
      <c r="P68">
        <f t="shared" si="69"/>
        <v>6.1122003329103016</v>
      </c>
      <c r="Q68">
        <f t="shared" si="69"/>
        <v>21.76450977571676</v>
      </c>
      <c r="R68">
        <f t="shared" si="68"/>
        <v>0.34007046524557438</v>
      </c>
    </row>
    <row r="69" spans="1:18" x14ac:dyDescent="0.25">
      <c r="A69">
        <v>68</v>
      </c>
      <c r="B69" t="s">
        <v>91</v>
      </c>
      <c r="C69">
        <v>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1</v>
      </c>
      <c r="J69">
        <v>13.366097118231121</v>
      </c>
      <c r="K69">
        <f t="shared" ref="K69:Q69" si="70">J9-J8</f>
        <v>1.1171677516312997</v>
      </c>
      <c r="L69">
        <f t="shared" si="70"/>
        <v>12.337816139531419</v>
      </c>
      <c r="M69">
        <f t="shared" si="70"/>
        <v>-0.43176747284749695</v>
      </c>
      <c r="N69">
        <f t="shared" si="70"/>
        <v>27.305288199608242</v>
      </c>
      <c r="O69">
        <f t="shared" si="70"/>
        <v>-15.940706894882993</v>
      </c>
      <c r="P69">
        <f t="shared" si="70"/>
        <v>5.1908179905960665</v>
      </c>
      <c r="Q69">
        <f t="shared" si="70"/>
        <v>7.9241067487921981</v>
      </c>
      <c r="R69">
        <f t="shared" si="68"/>
        <v>0.1238141679498781</v>
      </c>
    </row>
    <row r="70" spans="1:18" x14ac:dyDescent="0.25">
      <c r="A70">
        <v>69</v>
      </c>
      <c r="B70" t="s">
        <v>92</v>
      </c>
      <c r="C70">
        <v>-1</v>
      </c>
      <c r="D70">
        <v>-1</v>
      </c>
      <c r="E70">
        <v>1</v>
      </c>
      <c r="F70">
        <v>-1</v>
      </c>
      <c r="G70">
        <v>-1</v>
      </c>
      <c r="H70">
        <v>-1</v>
      </c>
      <c r="I70">
        <v>1</v>
      </c>
      <c r="J70">
        <v>9.4878769923712838</v>
      </c>
      <c r="K70">
        <f t="shared" ref="K70:Q70" si="71">J11-J10</f>
        <v>1.3514893831475501</v>
      </c>
      <c r="L70">
        <f t="shared" si="71"/>
        <v>5.518721607525265</v>
      </c>
      <c r="M70">
        <f t="shared" si="71"/>
        <v>-1.5385184330124559</v>
      </c>
      <c r="N70">
        <f t="shared" si="71"/>
        <v>37.153245128781649</v>
      </c>
      <c r="O70">
        <f t="shared" si="71"/>
        <v>-10.040666701016599</v>
      </c>
      <c r="P70">
        <f t="shared" si="71"/>
        <v>6.3416598602216681</v>
      </c>
      <c r="Q70">
        <f t="shared" si="71"/>
        <v>-5.3991313919047812</v>
      </c>
      <c r="R70">
        <f t="shared" si="68"/>
        <v>-8.4361427998512206E-2</v>
      </c>
    </row>
    <row r="71" spans="1:18" x14ac:dyDescent="0.25">
      <c r="A71">
        <v>70</v>
      </c>
      <c r="B71" t="s">
        <v>93</v>
      </c>
      <c r="C71">
        <v>1</v>
      </c>
      <c r="D71">
        <v>-1</v>
      </c>
      <c r="E71">
        <v>1</v>
      </c>
      <c r="F71">
        <v>-1</v>
      </c>
      <c r="G71">
        <v>-1</v>
      </c>
      <c r="H71">
        <v>-1</v>
      </c>
      <c r="I71">
        <v>1</v>
      </c>
      <c r="J71">
        <v>9.8275205090793918</v>
      </c>
      <c r="K71">
        <f t="shared" ref="K71:Q71" si="72">J13-J12</f>
        <v>5.49110879869923</v>
      </c>
      <c r="L71">
        <f t="shared" si="72"/>
        <v>5.2479777728951333</v>
      </c>
      <c r="M71">
        <f t="shared" si="72"/>
        <v>-3.4326477514807365</v>
      </c>
      <c r="N71">
        <f t="shared" si="72"/>
        <v>28.905948859880709</v>
      </c>
      <c r="O71">
        <f t="shared" si="72"/>
        <v>-10.053433150550543</v>
      </c>
      <c r="P71">
        <f t="shared" si="72"/>
        <v>16.237282819669062</v>
      </c>
      <c r="Q71">
        <f t="shared" si="72"/>
        <v>-0.21262103712713287</v>
      </c>
      <c r="R71">
        <f t="shared" si="68"/>
        <v>-3.3222037051114511E-3</v>
      </c>
    </row>
    <row r="72" spans="1:18" x14ac:dyDescent="0.25">
      <c r="A72">
        <v>71</v>
      </c>
      <c r="B72" t="s">
        <v>94</v>
      </c>
      <c r="C72">
        <v>-1</v>
      </c>
      <c r="D72">
        <v>1</v>
      </c>
      <c r="E72">
        <v>1</v>
      </c>
      <c r="F72">
        <v>-1</v>
      </c>
      <c r="G72">
        <v>-1</v>
      </c>
      <c r="H72">
        <v>-1</v>
      </c>
      <c r="I72">
        <v>1</v>
      </c>
      <c r="J72">
        <v>11.62307366450308</v>
      </c>
      <c r="K72">
        <f t="shared" ref="K72:Q72" si="73">J15-J14</f>
        <v>0.46754848307839048</v>
      </c>
      <c r="L72">
        <f t="shared" si="73"/>
        <v>8.1414852628917593</v>
      </c>
      <c r="M72">
        <f t="shared" si="73"/>
        <v>-0.49631491022163488</v>
      </c>
      <c r="N72">
        <f t="shared" si="73"/>
        <v>44.823925487345065</v>
      </c>
      <c r="O72">
        <f t="shared" si="73"/>
        <v>-7.5424962397618529</v>
      </c>
      <c r="P72">
        <f t="shared" si="73"/>
        <v>5.1855984943808728</v>
      </c>
      <c r="Q72">
        <f t="shared" si="73"/>
        <v>-5.9360852852014467</v>
      </c>
      <c r="R72">
        <f t="shared" si="68"/>
        <v>-9.2751332581272605E-2</v>
      </c>
    </row>
    <row r="73" spans="1:18" x14ac:dyDescent="0.25">
      <c r="A73">
        <v>72</v>
      </c>
      <c r="B73" t="s">
        <v>95</v>
      </c>
      <c r="C73">
        <v>1</v>
      </c>
      <c r="D73">
        <v>1</v>
      </c>
      <c r="E73">
        <v>1</v>
      </c>
      <c r="F73">
        <v>-1</v>
      </c>
      <c r="G73">
        <v>-1</v>
      </c>
      <c r="H73">
        <v>-1</v>
      </c>
      <c r="I73">
        <v>1</v>
      </c>
      <c r="J73">
        <v>12.9027116104056</v>
      </c>
      <c r="K73">
        <f t="shared" ref="K73:Q73" si="74">J17-J16</f>
        <v>5.8781567558270709</v>
      </c>
      <c r="L73">
        <f t="shared" si="74"/>
        <v>8.1952808638208694</v>
      </c>
      <c r="M73">
        <f t="shared" si="74"/>
        <v>-0.52923171101804911</v>
      </c>
      <c r="N73">
        <f t="shared" si="74"/>
        <v>36.578297548301308</v>
      </c>
      <c r="O73">
        <f t="shared" si="74"/>
        <v>-4.0032882225609896</v>
      </c>
      <c r="P73">
        <f t="shared" si="74"/>
        <v>3.995433869086412</v>
      </c>
      <c r="Q73">
        <f t="shared" si="74"/>
        <v>0.86127422331963022</v>
      </c>
      <c r="R73">
        <f t="shared" si="68"/>
        <v>1.3457409739369222E-2</v>
      </c>
    </row>
    <row r="74" spans="1:18" x14ac:dyDescent="0.25">
      <c r="A74">
        <v>73</v>
      </c>
      <c r="B74" t="s">
        <v>96</v>
      </c>
      <c r="C74">
        <v>-1</v>
      </c>
      <c r="D74">
        <v>-1</v>
      </c>
      <c r="E74">
        <v>-1</v>
      </c>
      <c r="F74">
        <v>1</v>
      </c>
      <c r="G74">
        <v>-1</v>
      </c>
      <c r="H74">
        <v>-1</v>
      </c>
      <c r="I74">
        <v>1</v>
      </c>
      <c r="J74">
        <v>11.62096956368072</v>
      </c>
      <c r="K74">
        <f t="shared" ref="K74:Q74" si="75">J19-J18</f>
        <v>0.34035468085654941</v>
      </c>
      <c r="L74">
        <f t="shared" si="75"/>
        <v>5.6088220729118348</v>
      </c>
      <c r="M74">
        <f t="shared" si="75"/>
        <v>-1.4816326907982145</v>
      </c>
      <c r="N74">
        <f t="shared" si="75"/>
        <v>8.6408512149731092</v>
      </c>
      <c r="O74">
        <f t="shared" si="75"/>
        <v>-10.357669474414823</v>
      </c>
      <c r="P74">
        <f t="shared" si="75"/>
        <v>0.5486591626800319</v>
      </c>
      <c r="Q74">
        <f t="shared" si="75"/>
        <v>28.381534702190507</v>
      </c>
      <c r="R74">
        <f t="shared" si="68"/>
        <v>0.44346147972172667</v>
      </c>
    </row>
    <row r="75" spans="1:18" x14ac:dyDescent="0.25">
      <c r="A75">
        <v>74</v>
      </c>
      <c r="B75" t="s">
        <v>97</v>
      </c>
      <c r="C75">
        <v>1</v>
      </c>
      <c r="D75">
        <v>-1</v>
      </c>
      <c r="E75">
        <v>-1</v>
      </c>
      <c r="F75">
        <v>1</v>
      </c>
      <c r="G75">
        <v>-1</v>
      </c>
      <c r="H75">
        <v>-1</v>
      </c>
      <c r="I75">
        <v>1</v>
      </c>
      <c r="J75">
        <v>13.11218466710085</v>
      </c>
      <c r="K75">
        <f t="shared" ref="K75:Q75" si="76">J21-J20</f>
        <v>0.53725679684835015</v>
      </c>
      <c r="L75">
        <f t="shared" si="76"/>
        <v>5.8961018444767888</v>
      </c>
      <c r="M75">
        <f t="shared" si="76"/>
        <v>-5.2023580010723407</v>
      </c>
      <c r="N75">
        <f t="shared" si="76"/>
        <v>3.5483755015705665</v>
      </c>
      <c r="O75">
        <f t="shared" si="76"/>
        <v>-9.8415891992367861</v>
      </c>
      <c r="P75">
        <f t="shared" si="76"/>
        <v>-0.24478947212554658</v>
      </c>
      <c r="Q75">
        <f t="shared" si="76"/>
        <v>6.896651430325857</v>
      </c>
      <c r="R75">
        <f t="shared" si="68"/>
        <v>0.10776017859884152</v>
      </c>
    </row>
    <row r="76" spans="1:18" x14ac:dyDescent="0.25">
      <c r="A76">
        <v>75</v>
      </c>
      <c r="B76" t="s">
        <v>98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1</v>
      </c>
      <c r="J76">
        <v>17.78955423093619</v>
      </c>
      <c r="K76">
        <f t="shared" ref="K76:Q76" si="77">J23-J22</f>
        <v>0.35381084004106356</v>
      </c>
      <c r="L76">
        <f t="shared" si="77"/>
        <v>14.750186007731614</v>
      </c>
      <c r="M76">
        <f t="shared" si="77"/>
        <v>-0.58127011263710671</v>
      </c>
      <c r="N76">
        <f t="shared" si="77"/>
        <v>10.30059143570335</v>
      </c>
      <c r="O76">
        <f t="shared" si="77"/>
        <v>-11.304518399378367</v>
      </c>
      <c r="P76">
        <f t="shared" si="77"/>
        <v>-1.1345371133757887E-2</v>
      </c>
      <c r="Q76">
        <f t="shared" si="77"/>
        <v>33.509108935290968</v>
      </c>
      <c r="R76">
        <f t="shared" si="68"/>
        <v>0.52357982711392137</v>
      </c>
    </row>
    <row r="77" spans="1:18" x14ac:dyDescent="0.25">
      <c r="A77">
        <v>76</v>
      </c>
      <c r="B77" t="s">
        <v>99</v>
      </c>
      <c r="C77">
        <v>1</v>
      </c>
      <c r="D77">
        <v>1</v>
      </c>
      <c r="E77">
        <v>-1</v>
      </c>
      <c r="F77">
        <v>1</v>
      </c>
      <c r="G77">
        <v>-1</v>
      </c>
      <c r="H77">
        <v>-1</v>
      </c>
      <c r="I77">
        <v>1</v>
      </c>
      <c r="J77">
        <v>23.2370922249677</v>
      </c>
      <c r="K77">
        <f t="shared" ref="K77:Q77" si="78">J25-J24</f>
        <v>0.84193439422613991</v>
      </c>
      <c r="L77">
        <f t="shared" si="78"/>
        <v>14.118814848949434</v>
      </c>
      <c r="M77">
        <f t="shared" si="78"/>
        <v>-1.5829525424548478</v>
      </c>
      <c r="N77">
        <f t="shared" si="78"/>
        <v>6.2090078215746196</v>
      </c>
      <c r="O77">
        <f t="shared" si="78"/>
        <v>-9.4126692499850222</v>
      </c>
      <c r="P77">
        <f t="shared" si="78"/>
        <v>1.3086225344903166</v>
      </c>
      <c r="Q77">
        <f t="shared" si="78"/>
        <v>0.29715299409688711</v>
      </c>
      <c r="R77">
        <f t="shared" si="68"/>
        <v>4.6430155327638611E-3</v>
      </c>
    </row>
    <row r="78" spans="1:18" x14ac:dyDescent="0.25">
      <c r="A78">
        <v>77</v>
      </c>
      <c r="B78" t="s">
        <v>100</v>
      </c>
      <c r="C78">
        <v>-1</v>
      </c>
      <c r="D78">
        <v>-1</v>
      </c>
      <c r="E78">
        <v>1</v>
      </c>
      <c r="F78">
        <v>1</v>
      </c>
      <c r="G78">
        <v>-1</v>
      </c>
      <c r="H78">
        <v>-1</v>
      </c>
      <c r="I78">
        <v>1</v>
      </c>
      <c r="J78">
        <v>11.4357392342566</v>
      </c>
      <c r="K78">
        <f t="shared" ref="K78:Q78" si="79">J27-J26</f>
        <v>0.32595733633935886</v>
      </c>
      <c r="L78">
        <f t="shared" si="79"/>
        <v>5.2999680475087132</v>
      </c>
      <c r="M78">
        <f t="shared" si="79"/>
        <v>-1.5728850132226739</v>
      </c>
      <c r="N78">
        <f t="shared" si="79"/>
        <v>9.1925948266190449</v>
      </c>
      <c r="O78">
        <f t="shared" si="79"/>
        <v>-4.5331219587684188</v>
      </c>
      <c r="P78">
        <f t="shared" si="79"/>
        <v>0.83193221968783249</v>
      </c>
      <c r="Q78">
        <f t="shared" si="79"/>
        <v>-5.911866611800896</v>
      </c>
      <c r="R78">
        <f t="shared" si="68"/>
        <v>-9.2372915809389E-2</v>
      </c>
    </row>
    <row r="79" spans="1:18" x14ac:dyDescent="0.25">
      <c r="A79">
        <v>78</v>
      </c>
      <c r="B79" t="s">
        <v>101</v>
      </c>
      <c r="C79">
        <v>1</v>
      </c>
      <c r="D79">
        <v>-1</v>
      </c>
      <c r="E79">
        <v>1</v>
      </c>
      <c r="F79">
        <v>1</v>
      </c>
      <c r="G79">
        <v>-1</v>
      </c>
      <c r="H79">
        <v>-1</v>
      </c>
      <c r="I79">
        <v>1</v>
      </c>
      <c r="J79">
        <v>11.817339260383759</v>
      </c>
      <c r="K79">
        <f t="shared" ref="K79:Q79" si="80">J29-J28</f>
        <v>2.0495124522096404</v>
      </c>
      <c r="L79">
        <f t="shared" si="80"/>
        <v>5.4027679801494841</v>
      </c>
      <c r="M79">
        <f t="shared" si="80"/>
        <v>-4.9633830987068279</v>
      </c>
      <c r="N79">
        <f t="shared" si="80"/>
        <v>6.4320014740272562</v>
      </c>
      <c r="O79">
        <f t="shared" si="80"/>
        <v>-4.4318598583365016</v>
      </c>
      <c r="P79">
        <f t="shared" si="80"/>
        <v>0.16801021925315496</v>
      </c>
      <c r="Q79">
        <f t="shared" si="80"/>
        <v>0.83830608713988131</v>
      </c>
      <c r="R79">
        <f t="shared" si="68"/>
        <v>1.3098532611560645E-2</v>
      </c>
    </row>
    <row r="80" spans="1:18" x14ac:dyDescent="0.25">
      <c r="A80">
        <v>79</v>
      </c>
      <c r="B80" t="s">
        <v>102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1</v>
      </c>
      <c r="J80">
        <v>15.77112787776808</v>
      </c>
      <c r="K80">
        <f t="shared" ref="K80:Q80" si="81">J31-J30</f>
        <v>0.27750044184976019</v>
      </c>
      <c r="L80">
        <f t="shared" si="81"/>
        <v>9.9394293106909402</v>
      </c>
      <c r="M80">
        <f t="shared" si="81"/>
        <v>-0.66760632247574847</v>
      </c>
      <c r="N80">
        <f t="shared" si="81"/>
        <v>9.7470153001974431</v>
      </c>
      <c r="O80">
        <f t="shared" si="81"/>
        <v>-2.3124537233299716</v>
      </c>
      <c r="P80">
        <f t="shared" si="81"/>
        <v>-0.5668958772486965</v>
      </c>
      <c r="Q80">
        <f t="shared" si="81"/>
        <v>-3.1914721378694146</v>
      </c>
      <c r="R80">
        <f t="shared" si="68"/>
        <v>-4.9866752154209604E-2</v>
      </c>
    </row>
    <row r="81" spans="1:18" x14ac:dyDescent="0.25">
      <c r="A81">
        <v>80</v>
      </c>
      <c r="B81" t="s">
        <v>103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  <c r="I81">
        <v>1</v>
      </c>
      <c r="J81">
        <v>21.533236313204672</v>
      </c>
      <c r="K81">
        <f t="shared" ref="K81:Q81" si="82">J33-J32</f>
        <v>2.96876198314391</v>
      </c>
      <c r="L81">
        <f t="shared" si="82"/>
        <v>9.8901702364837476</v>
      </c>
      <c r="M81">
        <f t="shared" si="82"/>
        <v>-1.889128384682806</v>
      </c>
      <c r="N81">
        <f t="shared" si="82"/>
        <v>10.223865803303756</v>
      </c>
      <c r="O81">
        <f t="shared" si="82"/>
        <v>2.2509171524428169</v>
      </c>
      <c r="P81">
        <f t="shared" si="82"/>
        <v>1.7510920472261322</v>
      </c>
      <c r="Q81">
        <f t="shared" si="82"/>
        <v>1.4255629826766123</v>
      </c>
      <c r="R81">
        <f t="shared" si="68"/>
        <v>2.2274421604322067E-2</v>
      </c>
    </row>
    <row r="82" spans="1:18" x14ac:dyDescent="0.25">
      <c r="A82">
        <v>81</v>
      </c>
      <c r="B82" t="s">
        <v>104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9.5367311351382114</v>
      </c>
      <c r="K82">
        <f t="shared" ref="K82:Q82" si="83">J35-J34</f>
        <v>1.4725876773171365</v>
      </c>
      <c r="L82">
        <f t="shared" si="83"/>
        <v>5.3466154531842598</v>
      </c>
      <c r="M82">
        <f t="shared" si="83"/>
        <v>-0.75458322157938973</v>
      </c>
      <c r="N82">
        <f t="shared" si="83"/>
        <v>14.317633369255624</v>
      </c>
      <c r="O82">
        <f t="shared" si="83"/>
        <v>4.2074325148157357</v>
      </c>
      <c r="P82">
        <f t="shared" si="83"/>
        <v>5.3400367440056158</v>
      </c>
      <c r="Q82">
        <f t="shared" si="83"/>
        <v>0.43149277702750055</v>
      </c>
      <c r="R82">
        <f t="shared" si="68"/>
        <v>6.7420746410546961E-3</v>
      </c>
    </row>
    <row r="83" spans="1:18" x14ac:dyDescent="0.25">
      <c r="A83">
        <v>82</v>
      </c>
      <c r="B83" t="s">
        <v>105</v>
      </c>
      <c r="C83">
        <v>1</v>
      </c>
      <c r="D83">
        <v>-1</v>
      </c>
      <c r="E83">
        <v>-1</v>
      </c>
      <c r="F83">
        <v>-1</v>
      </c>
      <c r="G83">
        <v>1</v>
      </c>
      <c r="H83">
        <v>-1</v>
      </c>
      <c r="I83">
        <v>1</v>
      </c>
      <c r="J83">
        <v>9.6385907756016707</v>
      </c>
      <c r="K83">
        <f t="shared" ref="K83:Q83" si="84">J37-J36</f>
        <v>1.3487532698796301</v>
      </c>
      <c r="L83">
        <f t="shared" si="84"/>
        <v>5.2103877734580024</v>
      </c>
      <c r="M83">
        <f t="shared" si="84"/>
        <v>-0.49689294294131869</v>
      </c>
      <c r="N83">
        <f t="shared" si="84"/>
        <v>5.5700667462922304</v>
      </c>
      <c r="O83">
        <f t="shared" si="84"/>
        <v>3.9456195632535085</v>
      </c>
      <c r="P83">
        <f t="shared" si="84"/>
        <v>15.343029046984014</v>
      </c>
      <c r="Q83">
        <f t="shared" si="84"/>
        <v>8.5483153892443013</v>
      </c>
      <c r="R83">
        <f t="shared" si="68"/>
        <v>0.13356742795694221</v>
      </c>
    </row>
    <row r="84" spans="1:18" x14ac:dyDescent="0.25">
      <c r="A84">
        <v>83</v>
      </c>
      <c r="B84" t="s">
        <v>106</v>
      </c>
      <c r="C84">
        <v>-1</v>
      </c>
      <c r="D84">
        <v>1</v>
      </c>
      <c r="E84">
        <v>-1</v>
      </c>
      <c r="F84">
        <v>-1</v>
      </c>
      <c r="G84">
        <v>1</v>
      </c>
      <c r="H84">
        <v>-1</v>
      </c>
      <c r="I84">
        <v>1</v>
      </c>
      <c r="J84">
        <v>11.500238027005279</v>
      </c>
      <c r="K84">
        <f t="shared" ref="K84:Q84" si="85">J39-J38</f>
        <v>1.0428786737033855</v>
      </c>
      <c r="L84">
        <f t="shared" si="85"/>
        <v>16.293492225122314</v>
      </c>
      <c r="M84">
        <f t="shared" si="85"/>
        <v>0.31813375656230392</v>
      </c>
      <c r="N84">
        <f t="shared" si="85"/>
        <v>17.364076939292424</v>
      </c>
      <c r="O84">
        <f t="shared" si="85"/>
        <v>4.5197680367786006</v>
      </c>
      <c r="P84">
        <f t="shared" si="85"/>
        <v>4.3203725407342937</v>
      </c>
      <c r="Q84">
        <f t="shared" si="85"/>
        <v>-0.51792897571177932</v>
      </c>
      <c r="R84">
        <f t="shared" si="68"/>
        <v>-8.0926402454965518E-3</v>
      </c>
    </row>
    <row r="85" spans="1:18" x14ac:dyDescent="0.25">
      <c r="A85">
        <v>84</v>
      </c>
      <c r="B85" t="s">
        <v>107</v>
      </c>
      <c r="C85">
        <v>1</v>
      </c>
      <c r="D85">
        <v>1</v>
      </c>
      <c r="E85">
        <v>-1</v>
      </c>
      <c r="F85">
        <v>-1</v>
      </c>
      <c r="G85">
        <v>1</v>
      </c>
      <c r="H85">
        <v>-1</v>
      </c>
      <c r="I85">
        <v>1</v>
      </c>
      <c r="J85">
        <v>12.04722921539496</v>
      </c>
      <c r="K85">
        <f t="shared" ref="K85:Q85" si="86">J41-J40</f>
        <v>1.3846041701249199</v>
      </c>
      <c r="L85">
        <f t="shared" si="86"/>
        <v>14.051285696332389</v>
      </c>
      <c r="M85">
        <f t="shared" si="86"/>
        <v>0.87079263644467098</v>
      </c>
      <c r="N85">
        <f t="shared" si="86"/>
        <v>9.1268635195164904</v>
      </c>
      <c r="O85">
        <f t="shared" si="86"/>
        <v>3.9795334047709474</v>
      </c>
      <c r="P85">
        <f t="shared" si="86"/>
        <v>4.3462848028548979</v>
      </c>
      <c r="Q85">
        <f t="shared" si="86"/>
        <v>8.9034452462177658</v>
      </c>
      <c r="R85">
        <f t="shared" si="68"/>
        <v>0.13911633197215259</v>
      </c>
    </row>
    <row r="86" spans="1:18" x14ac:dyDescent="0.25">
      <c r="A86">
        <v>85</v>
      </c>
      <c r="B86" t="s">
        <v>108</v>
      </c>
      <c r="C86">
        <v>-1</v>
      </c>
      <c r="D86">
        <v>-1</v>
      </c>
      <c r="E86">
        <v>1</v>
      </c>
      <c r="F86">
        <v>-1</v>
      </c>
      <c r="G86">
        <v>1</v>
      </c>
      <c r="H86">
        <v>-1</v>
      </c>
      <c r="I86">
        <v>1</v>
      </c>
      <c r="J86">
        <v>9.4867037081849901</v>
      </c>
      <c r="K86">
        <f t="shared" ref="K86:Q86" si="87">J43-J42</f>
        <v>1.3198941205637613</v>
      </c>
      <c r="L86">
        <f t="shared" si="87"/>
        <v>4.3721453316603558</v>
      </c>
      <c r="M86">
        <f t="shared" si="87"/>
        <v>-0.39385810336846117</v>
      </c>
      <c r="N86">
        <f t="shared" si="87"/>
        <v>19.787774694812441</v>
      </c>
      <c r="O86">
        <f t="shared" si="87"/>
        <v>2.4404025575276833</v>
      </c>
      <c r="P86">
        <f t="shared" si="87"/>
        <v>6.60324034326106</v>
      </c>
      <c r="Q86">
        <f t="shared" si="87"/>
        <v>0.34624936348030388</v>
      </c>
      <c r="R86">
        <f t="shared" si="68"/>
        <v>5.4101463043797482E-3</v>
      </c>
    </row>
    <row r="87" spans="1:18" x14ac:dyDescent="0.25">
      <c r="A87">
        <v>86</v>
      </c>
      <c r="B87" t="s">
        <v>109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  <c r="I87">
        <v>1</v>
      </c>
      <c r="J87">
        <v>9.563601377569583</v>
      </c>
      <c r="K87">
        <f t="shared" ref="K87:Q87" si="88">J45-J44</f>
        <v>6.8202024151409493</v>
      </c>
      <c r="L87">
        <f t="shared" si="88"/>
        <v>4.040908868993867</v>
      </c>
      <c r="M87">
        <f t="shared" si="88"/>
        <v>-0.73077784468099871</v>
      </c>
      <c r="N87">
        <f t="shared" si="88"/>
        <v>12.771154347410153</v>
      </c>
      <c r="O87">
        <f t="shared" si="88"/>
        <v>2.1753767534514283</v>
      </c>
      <c r="P87">
        <f t="shared" si="88"/>
        <v>14.769891425202552</v>
      </c>
      <c r="Q87">
        <f t="shared" si="88"/>
        <v>-1.3074219501087532</v>
      </c>
      <c r="R87">
        <f t="shared" si="68"/>
        <v>-2.0428467970449268E-2</v>
      </c>
    </row>
    <row r="88" spans="1:18" x14ac:dyDescent="0.25">
      <c r="A88">
        <v>87</v>
      </c>
      <c r="B88" t="s">
        <v>110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11.15902358208743</v>
      </c>
      <c r="K88">
        <f t="shared" ref="K88:Q88" si="89">J47-J46</f>
        <v>0.47619279575036089</v>
      </c>
      <c r="L88">
        <f t="shared" si="89"/>
        <v>11.116551133868285</v>
      </c>
      <c r="M88">
        <f t="shared" si="89"/>
        <v>0.30363947769017585</v>
      </c>
      <c r="N88">
        <f t="shared" si="89"/>
        <v>26.809395190558448</v>
      </c>
      <c r="O88">
        <f t="shared" si="89"/>
        <v>2.0638526432366202</v>
      </c>
      <c r="P88">
        <f t="shared" si="89"/>
        <v>5.332795550352639</v>
      </c>
      <c r="Q88">
        <f t="shared" si="89"/>
        <v>0.24442895026606593</v>
      </c>
      <c r="R88">
        <f t="shared" si="68"/>
        <v>3.8192023479072801E-3</v>
      </c>
    </row>
    <row r="89" spans="1:18" x14ac:dyDescent="0.25">
      <c r="A89">
        <v>88</v>
      </c>
      <c r="B89" t="s">
        <v>111</v>
      </c>
      <c r="C89">
        <v>1</v>
      </c>
      <c r="D89">
        <v>1</v>
      </c>
      <c r="E89">
        <v>1</v>
      </c>
      <c r="F89">
        <v>-1</v>
      </c>
      <c r="G89">
        <v>1</v>
      </c>
      <c r="H89">
        <v>-1</v>
      </c>
      <c r="I89">
        <v>1</v>
      </c>
      <c r="J89">
        <v>11.93219037266101</v>
      </c>
      <c r="K89">
        <f t="shared" ref="K89:Q89" si="90">J49-J48</f>
        <v>6.933125895273351</v>
      </c>
      <c r="L89">
        <f t="shared" si="90"/>
        <v>10.067657414196091</v>
      </c>
      <c r="M89">
        <f t="shared" si="90"/>
        <v>0.74710132771179261</v>
      </c>
      <c r="N89">
        <f t="shared" si="90"/>
        <v>20.519425276866698</v>
      </c>
      <c r="O89">
        <f t="shared" si="90"/>
        <v>1.2445047176337383</v>
      </c>
      <c r="P89">
        <f t="shared" si="90"/>
        <v>3.8676976228441529</v>
      </c>
      <c r="Q89">
        <f t="shared" si="90"/>
        <v>-2.6895940115540649</v>
      </c>
      <c r="R89">
        <f t="shared" si="68"/>
        <v>-4.2024906430532263E-2</v>
      </c>
    </row>
    <row r="90" spans="1:18" x14ac:dyDescent="0.25">
      <c r="A90">
        <v>89</v>
      </c>
      <c r="B90" t="s">
        <v>112</v>
      </c>
      <c r="C90">
        <v>-1</v>
      </c>
      <c r="D90">
        <v>-1</v>
      </c>
      <c r="E90">
        <v>-1</v>
      </c>
      <c r="F90">
        <v>1</v>
      </c>
      <c r="G90">
        <v>1</v>
      </c>
      <c r="H90">
        <v>-1</v>
      </c>
      <c r="I90">
        <v>1</v>
      </c>
      <c r="J90">
        <v>11.5811430871931</v>
      </c>
      <c r="K90">
        <f t="shared" ref="K90:Q90" si="91">J51-J50</f>
        <v>0.44482543515718476</v>
      </c>
      <c r="L90">
        <f t="shared" si="91"/>
        <v>5.4028105738385079</v>
      </c>
      <c r="M90">
        <f t="shared" si="91"/>
        <v>-0.65130380717508984</v>
      </c>
      <c r="N90">
        <f t="shared" si="91"/>
        <v>9.4674910904909932</v>
      </c>
      <c r="O90">
        <f t="shared" si="91"/>
        <v>0.68858628106943698</v>
      </c>
      <c r="P90">
        <f t="shared" si="91"/>
        <v>-0.4315309625472068</v>
      </c>
      <c r="Q90">
        <f t="shared" si="91"/>
        <v>-1.0077942123669885</v>
      </c>
      <c r="R90">
        <f t="shared" si="68"/>
        <v>-1.5746784568234196E-2</v>
      </c>
    </row>
    <row r="91" spans="1:18" x14ac:dyDescent="0.25">
      <c r="A91">
        <v>90</v>
      </c>
      <c r="B91" t="s">
        <v>113</v>
      </c>
      <c r="C91">
        <v>1</v>
      </c>
      <c r="D91">
        <v>-1</v>
      </c>
      <c r="E91">
        <v>-1</v>
      </c>
      <c r="F91">
        <v>1</v>
      </c>
      <c r="G91">
        <v>1</v>
      </c>
      <c r="H91">
        <v>-1</v>
      </c>
      <c r="I91">
        <v>1</v>
      </c>
      <c r="J91">
        <v>11.69888374486743</v>
      </c>
      <c r="K91">
        <f t="shared" ref="K91:Q91" si="92">J53-J52</f>
        <v>0.53730433740481054</v>
      </c>
      <c r="L91">
        <f t="shared" si="92"/>
        <v>5.2297408224996786</v>
      </c>
      <c r="M91">
        <f t="shared" si="92"/>
        <v>-0.79504463588788887</v>
      </c>
      <c r="N91">
        <f t="shared" si="92"/>
        <v>3.7297909869875543</v>
      </c>
      <c r="O91">
        <f t="shared" si="92"/>
        <v>0.39763224565080435</v>
      </c>
      <c r="P91">
        <f t="shared" si="92"/>
        <v>0.11038759240065588</v>
      </c>
      <c r="Q91">
        <f t="shared" si="92"/>
        <v>6.9003164780457968</v>
      </c>
      <c r="R91">
        <f t="shared" si="68"/>
        <v>0.10781744496946558</v>
      </c>
    </row>
    <row r="92" spans="1:18" x14ac:dyDescent="0.25">
      <c r="A92">
        <v>91</v>
      </c>
      <c r="B92" t="s">
        <v>114</v>
      </c>
      <c r="C92">
        <v>-1</v>
      </c>
      <c r="D92">
        <v>1</v>
      </c>
      <c r="E92">
        <v>-1</v>
      </c>
      <c r="F92">
        <v>1</v>
      </c>
      <c r="G92">
        <v>1</v>
      </c>
      <c r="H92">
        <v>-1</v>
      </c>
      <c r="I92">
        <v>1</v>
      </c>
      <c r="J92">
        <v>15.37850276335908</v>
      </c>
      <c r="K92">
        <f t="shared" ref="K92:Q92" si="93">J55-J54</f>
        <v>0.45098775074173147</v>
      </c>
      <c r="L92">
        <f t="shared" si="93"/>
        <v>19.615162823381532</v>
      </c>
      <c r="M92">
        <f t="shared" si="93"/>
        <v>0.20121363110503232</v>
      </c>
      <c r="N92">
        <f t="shared" si="93"/>
        <v>11.739350305116151</v>
      </c>
      <c r="O92">
        <f t="shared" si="93"/>
        <v>0.99830402617750025</v>
      </c>
      <c r="P92">
        <f t="shared" si="93"/>
        <v>-0.70380704981135889</v>
      </c>
      <c r="Q92">
        <f t="shared" si="93"/>
        <v>3.6781897816452904</v>
      </c>
      <c r="R92">
        <f t="shared" si="68"/>
        <v>5.7471715338207663E-2</v>
      </c>
    </row>
    <row r="93" spans="1:18" x14ac:dyDescent="0.25">
      <c r="A93">
        <v>92</v>
      </c>
      <c r="B93" t="s">
        <v>115</v>
      </c>
      <c r="C93">
        <v>1</v>
      </c>
      <c r="D93">
        <v>1</v>
      </c>
      <c r="E93">
        <v>-1</v>
      </c>
      <c r="F93">
        <v>1</v>
      </c>
      <c r="G93">
        <v>1</v>
      </c>
      <c r="H93">
        <v>-1</v>
      </c>
      <c r="I93">
        <v>1</v>
      </c>
      <c r="J93">
        <v>19.018075202569729</v>
      </c>
      <c r="K93">
        <f t="shared" ref="K93:Q93" si="94">J57-J56</f>
        <v>0.83478149951043967</v>
      </c>
      <c r="L93">
        <f t="shared" si="94"/>
        <v>17.826783763515103</v>
      </c>
      <c r="M93">
        <f t="shared" si="94"/>
        <v>0.41629056906860917</v>
      </c>
      <c r="N93">
        <f t="shared" si="94"/>
        <v>6.7907273227150355</v>
      </c>
      <c r="O93">
        <f t="shared" si="94"/>
        <v>0.33234345080880701</v>
      </c>
      <c r="P93">
        <f t="shared" si="94"/>
        <v>1.612525135867843</v>
      </c>
      <c r="Q93">
        <f t="shared" si="94"/>
        <v>11.320073109660347</v>
      </c>
      <c r="R93">
        <f t="shared" si="68"/>
        <v>0.17687614233844293</v>
      </c>
    </row>
    <row r="94" spans="1:18" x14ac:dyDescent="0.25">
      <c r="A94">
        <v>93</v>
      </c>
      <c r="B94" t="s">
        <v>116</v>
      </c>
      <c r="C94">
        <v>-1</v>
      </c>
      <c r="D94">
        <v>-1</v>
      </c>
      <c r="E94">
        <v>1</v>
      </c>
      <c r="F94">
        <v>1</v>
      </c>
      <c r="G94">
        <v>1</v>
      </c>
      <c r="H94">
        <v>-1</v>
      </c>
      <c r="I94">
        <v>1</v>
      </c>
      <c r="J94">
        <v>11.41947575332887</v>
      </c>
      <c r="K94">
        <f t="shared" ref="K94:Q94" si="95">J59-J58</f>
        <v>0.32634806392530891</v>
      </c>
      <c r="L94">
        <f t="shared" si="95"/>
        <v>4.6877105784909787</v>
      </c>
      <c r="M94">
        <f t="shared" si="95"/>
        <v>-0.73002620503546822</v>
      </c>
      <c r="N94">
        <f t="shared" si="95"/>
        <v>7.8724645879294552</v>
      </c>
      <c r="O94">
        <f t="shared" si="95"/>
        <v>-0.6051264180959457</v>
      </c>
      <c r="P94">
        <f t="shared" si="95"/>
        <v>0.12671990515299925</v>
      </c>
      <c r="Q94">
        <f t="shared" si="95"/>
        <v>0.92042166713694229</v>
      </c>
      <c r="R94">
        <f t="shared" si="68"/>
        <v>1.4381588549014723E-2</v>
      </c>
    </row>
    <row r="95" spans="1:18" x14ac:dyDescent="0.25">
      <c r="A95">
        <v>94</v>
      </c>
      <c r="B95" t="s">
        <v>117</v>
      </c>
      <c r="C95">
        <v>1</v>
      </c>
      <c r="D95">
        <v>-1</v>
      </c>
      <c r="E95">
        <v>1</v>
      </c>
      <c r="F95">
        <v>1</v>
      </c>
      <c r="G95">
        <v>1</v>
      </c>
      <c r="H95">
        <v>-1</v>
      </c>
      <c r="I95">
        <v>1</v>
      </c>
      <c r="J95">
        <v>11.59352166734033</v>
      </c>
      <c r="K95">
        <f t="shared" ref="K95:Q95" si="96">J61-J60</f>
        <v>3.5385546944131878</v>
      </c>
      <c r="L95">
        <f t="shared" si="96"/>
        <v>4.3834911497005713</v>
      </c>
      <c r="M95">
        <f t="shared" si="96"/>
        <v>0.34766299201908879</v>
      </c>
      <c r="N95">
        <f t="shared" si="96"/>
        <v>6.2059429503517798</v>
      </c>
      <c r="O95">
        <f t="shared" si="96"/>
        <v>-0.28828314952814882</v>
      </c>
      <c r="P95">
        <f t="shared" si="96"/>
        <v>0.1876602947261361</v>
      </c>
      <c r="Q95">
        <f t="shared" si="96"/>
        <v>-1.1880495748925677</v>
      </c>
      <c r="R95">
        <f t="shared" si="68"/>
        <v>-1.856327460769637E-2</v>
      </c>
    </row>
    <row r="96" spans="1:18" x14ac:dyDescent="0.25">
      <c r="A96">
        <v>95</v>
      </c>
      <c r="B96" t="s">
        <v>118</v>
      </c>
      <c r="C96">
        <v>-1</v>
      </c>
      <c r="D96">
        <v>1</v>
      </c>
      <c r="E96">
        <v>1</v>
      </c>
      <c r="F96">
        <v>1</v>
      </c>
      <c r="G96">
        <v>1</v>
      </c>
      <c r="H96">
        <v>-1</v>
      </c>
      <c r="I96">
        <v>1</v>
      </c>
      <c r="J96">
        <v>14.540548541461581</v>
      </c>
      <c r="K96">
        <f t="shared" ref="K96:Q96" si="97">J63-J62</f>
        <v>0.27860537140339936</v>
      </c>
      <c r="L96">
        <f t="shared" si="97"/>
        <v>15.457756468332146</v>
      </c>
      <c r="M96">
        <f t="shared" si="97"/>
        <v>0.12798472827664753</v>
      </c>
      <c r="N96">
        <f t="shared" si="97"/>
        <v>7.8229167498959598</v>
      </c>
      <c r="O96">
        <f t="shared" si="97"/>
        <v>-1.284990035438403</v>
      </c>
      <c r="P96">
        <f t="shared" si="97"/>
        <v>-0.31207165259021341</v>
      </c>
      <c r="Q96">
        <f t="shared" si="97"/>
        <v>-0.63013623919582429</v>
      </c>
      <c r="R96">
        <f t="shared" si="68"/>
        <v>-9.8458787374347545E-3</v>
      </c>
    </row>
    <row r="97" spans="1:18" x14ac:dyDescent="0.25">
      <c r="A97">
        <v>96</v>
      </c>
      <c r="B97" t="s">
        <v>119</v>
      </c>
      <c r="C97">
        <v>1</v>
      </c>
      <c r="D97">
        <v>1</v>
      </c>
      <c r="E97">
        <v>1</v>
      </c>
      <c r="F97">
        <v>1</v>
      </c>
      <c r="G97">
        <v>1</v>
      </c>
      <c r="H97">
        <v>-1</v>
      </c>
      <c r="I97">
        <v>1</v>
      </c>
      <c r="J97">
        <v>18.54010629340371</v>
      </c>
      <c r="K97">
        <f t="shared" ref="K97:Q97" si="98">J65-J64</f>
        <v>4.33339871464689</v>
      </c>
      <c r="L97">
        <f t="shared" si="98"/>
        <v>14.132870536726102</v>
      </c>
      <c r="M97">
        <f t="shared" si="98"/>
        <v>0.7341567763407113</v>
      </c>
      <c r="N97">
        <f t="shared" si="98"/>
        <v>10.123188411229428</v>
      </c>
      <c r="O97">
        <f t="shared" si="98"/>
        <v>-2.2980135437397564</v>
      </c>
      <c r="P97">
        <f t="shared" si="98"/>
        <v>1.7000964590450689</v>
      </c>
      <c r="Q97">
        <f t="shared" si="98"/>
        <v>-3.121348639215376</v>
      </c>
      <c r="R97">
        <f t="shared" si="68"/>
        <v>-4.877107248774025E-2</v>
      </c>
    </row>
    <row r="98" spans="1:18" x14ac:dyDescent="0.25">
      <c r="A98">
        <v>97</v>
      </c>
      <c r="B98" t="s">
        <v>120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1</v>
      </c>
      <c r="I98">
        <v>1</v>
      </c>
      <c r="J98">
        <v>9.5571843917757917</v>
      </c>
      <c r="K98">
        <f t="shared" ref="K98:Q98" si="99">J67-J66</f>
        <v>0.87310649349438663</v>
      </c>
      <c r="L98">
        <f t="shared" si="99"/>
        <v>-0.25516441335336104</v>
      </c>
      <c r="M98">
        <f t="shared" si="99"/>
        <v>0.30821738156843992</v>
      </c>
      <c r="N98">
        <f t="shared" si="99"/>
        <v>-1.8009499378210805</v>
      </c>
      <c r="O98">
        <f t="shared" si="99"/>
        <v>-7.8857468617322724</v>
      </c>
      <c r="P98">
        <f t="shared" si="99"/>
        <v>-0.14526979755220282</v>
      </c>
      <c r="Q98">
        <f t="shared" si="99"/>
        <v>9.0175318052204148</v>
      </c>
      <c r="R98">
        <f t="shared" si="68"/>
        <v>0.14089893445656898</v>
      </c>
    </row>
    <row r="99" spans="1:18" x14ac:dyDescent="0.25">
      <c r="A99">
        <v>98</v>
      </c>
      <c r="B99" t="s">
        <v>121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I99">
        <v>1</v>
      </c>
      <c r="J99">
        <v>10.50778967924529</v>
      </c>
      <c r="K99">
        <f t="shared" ref="K99:Q99" si="100">J69-J68</f>
        <v>1.3974787762913312</v>
      </c>
      <c r="L99">
        <f t="shared" si="100"/>
        <v>0.33790101116272808</v>
      </c>
      <c r="M99">
        <f t="shared" si="100"/>
        <v>-1.2137518963388985</v>
      </c>
      <c r="N99">
        <f t="shared" si="100"/>
        <v>0.30543478110359246</v>
      </c>
      <c r="O99">
        <f t="shared" si="100"/>
        <v>-7.5993831338454356</v>
      </c>
      <c r="P99">
        <f t="shared" si="100"/>
        <v>0.90596947376550929</v>
      </c>
      <c r="Q99">
        <f t="shared" si="100"/>
        <v>-0.9213823423142351</v>
      </c>
      <c r="R99">
        <f t="shared" ref="R99:R130" si="101">Q99/64</f>
        <v>-1.4396599098659923E-2</v>
      </c>
    </row>
    <row r="100" spans="1:18" x14ac:dyDescent="0.25">
      <c r="A100">
        <v>99</v>
      </c>
      <c r="B100" t="s">
        <v>122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1</v>
      </c>
      <c r="I100">
        <v>1</v>
      </c>
      <c r="J100">
        <v>12.02029866766669</v>
      </c>
      <c r="K100">
        <f t="shared" ref="K100:Q100" si="102">J71-J70</f>
        <v>0.339643516708108</v>
      </c>
      <c r="L100">
        <f t="shared" si="102"/>
        <v>4.1396194155516799</v>
      </c>
      <c r="M100">
        <f t="shared" si="102"/>
        <v>-0.27074383463013163</v>
      </c>
      <c r="N100">
        <f t="shared" si="102"/>
        <v>-1.8941293184682806</v>
      </c>
      <c r="O100">
        <f t="shared" si="102"/>
        <v>-8.2472962689009393</v>
      </c>
      <c r="P100">
        <f t="shared" si="102"/>
        <v>-1.2766449533943458E-2</v>
      </c>
      <c r="Q100">
        <f t="shared" si="102"/>
        <v>9.8956229594473939</v>
      </c>
      <c r="R100">
        <f t="shared" si="101"/>
        <v>0.15461910874136553</v>
      </c>
    </row>
    <row r="101" spans="1:18" x14ac:dyDescent="0.25">
      <c r="A101">
        <v>100</v>
      </c>
      <c r="B101" t="s">
        <v>123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1</v>
      </c>
      <c r="I101">
        <v>1</v>
      </c>
      <c r="J101">
        <v>13.447485977192899</v>
      </c>
      <c r="K101">
        <f t="shared" ref="K101:Q101" si="103">J73-J72</f>
        <v>1.27963794590252</v>
      </c>
      <c r="L101">
        <f t="shared" si="103"/>
        <v>5.4106082727486804</v>
      </c>
      <c r="M101">
        <f t="shared" si="103"/>
        <v>5.3795600929110066E-2</v>
      </c>
      <c r="N101">
        <f t="shared" si="103"/>
        <v>-3.2916800796414236E-2</v>
      </c>
      <c r="O101">
        <f t="shared" si="103"/>
        <v>-8.2456279390437572</v>
      </c>
      <c r="P101">
        <f t="shared" si="103"/>
        <v>3.5392080172008633</v>
      </c>
      <c r="Q101">
        <f t="shared" si="103"/>
        <v>-1.1901646252944609</v>
      </c>
      <c r="R101">
        <f t="shared" si="101"/>
        <v>-1.8596322270225951E-2</v>
      </c>
    </row>
    <row r="102" spans="1:18" x14ac:dyDescent="0.25">
      <c r="A102">
        <v>101</v>
      </c>
      <c r="B102" t="s">
        <v>124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9.4882352113694708</v>
      </c>
      <c r="K102">
        <f t="shared" ref="K102:Q102" si="104">J75-J74</f>
        <v>1.4912151034201298</v>
      </c>
      <c r="L102">
        <f t="shared" si="104"/>
        <v>0.19690211599180074</v>
      </c>
      <c r="M102">
        <f t="shared" si="104"/>
        <v>0.28727977156495399</v>
      </c>
      <c r="N102">
        <f t="shared" si="104"/>
        <v>-3.7207253102741262</v>
      </c>
      <c r="O102">
        <f t="shared" si="104"/>
        <v>-5.0924757134025427</v>
      </c>
      <c r="P102">
        <f t="shared" si="104"/>
        <v>0.51608027517803734</v>
      </c>
      <c r="Q102">
        <f t="shared" si="104"/>
        <v>-0.79344863480557848</v>
      </c>
      <c r="R102">
        <f t="shared" si="101"/>
        <v>-1.2397634918837164E-2</v>
      </c>
    </row>
    <row r="103" spans="1:18" x14ac:dyDescent="0.25">
      <c r="A103">
        <v>102</v>
      </c>
      <c r="B103" t="s">
        <v>125</v>
      </c>
      <c r="C103">
        <v>1</v>
      </c>
      <c r="D103">
        <v>-1</v>
      </c>
      <c r="E103">
        <v>1</v>
      </c>
      <c r="F103">
        <v>-1</v>
      </c>
      <c r="G103">
        <v>-1</v>
      </c>
      <c r="H103">
        <v>1</v>
      </c>
      <c r="I103">
        <v>1</v>
      </c>
      <c r="J103">
        <v>9.8768312287096904</v>
      </c>
      <c r="K103">
        <f t="shared" ref="K103:Q103" si="105">J77-J76</f>
        <v>5.4475379940315101</v>
      </c>
      <c r="L103">
        <f t="shared" si="105"/>
        <v>0.48812355418507636</v>
      </c>
      <c r="M103">
        <f t="shared" si="105"/>
        <v>-0.63137115878217998</v>
      </c>
      <c r="N103">
        <f t="shared" si="105"/>
        <v>-1.0016824298177411</v>
      </c>
      <c r="O103">
        <f t="shared" si="105"/>
        <v>-4.0915836141287301</v>
      </c>
      <c r="P103">
        <f t="shared" si="105"/>
        <v>1.8918491493933445</v>
      </c>
      <c r="Q103">
        <f t="shared" si="105"/>
        <v>1.3199679056240745</v>
      </c>
      <c r="R103">
        <f t="shared" si="101"/>
        <v>2.0624498525376164E-2</v>
      </c>
    </row>
    <row r="104" spans="1:18" x14ac:dyDescent="0.25">
      <c r="A104">
        <v>103</v>
      </c>
      <c r="B104" t="s">
        <v>126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1</v>
      </c>
      <c r="J104">
        <v>11.66781844397941</v>
      </c>
      <c r="K104">
        <f t="shared" ref="K104:Q104" si="106">J79-J78</f>
        <v>0.38160002612715971</v>
      </c>
      <c r="L104">
        <f t="shared" si="106"/>
        <v>1.7235551158702815</v>
      </c>
      <c r="M104">
        <f t="shared" si="106"/>
        <v>0.10279993264077092</v>
      </c>
      <c r="N104">
        <f t="shared" si="106"/>
        <v>-3.390498085484154</v>
      </c>
      <c r="O104">
        <f t="shared" si="106"/>
        <v>-2.7605933525917887</v>
      </c>
      <c r="P104">
        <f t="shared" si="106"/>
        <v>0.10126210043191719</v>
      </c>
      <c r="Q104">
        <f t="shared" si="106"/>
        <v>-0.66392200043467753</v>
      </c>
      <c r="R104">
        <f t="shared" si="101"/>
        <v>-1.0373781256791836E-2</v>
      </c>
    </row>
    <row r="105" spans="1:18" x14ac:dyDescent="0.25">
      <c r="A105">
        <v>104</v>
      </c>
      <c r="B105" t="s">
        <v>127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1</v>
      </c>
      <c r="J105">
        <v>12.92698881859943</v>
      </c>
      <c r="K105">
        <f t="shared" ref="K105:Q105" si="107">J81-J80</f>
        <v>5.7621084354365912</v>
      </c>
      <c r="L105">
        <f t="shared" si="107"/>
        <v>2.6912615412941499</v>
      </c>
      <c r="M105">
        <f t="shared" si="107"/>
        <v>-4.9259074207192555E-2</v>
      </c>
      <c r="N105">
        <f t="shared" si="107"/>
        <v>-1.2215220622070575</v>
      </c>
      <c r="O105">
        <f t="shared" si="107"/>
        <v>0.47685050310631283</v>
      </c>
      <c r="P105">
        <f t="shared" si="107"/>
        <v>4.5633708757727884</v>
      </c>
      <c r="Q105">
        <f t="shared" si="107"/>
        <v>2.3179879244748287</v>
      </c>
      <c r="R105">
        <f t="shared" si="101"/>
        <v>3.6218561319919199E-2</v>
      </c>
    </row>
    <row r="106" spans="1:18" x14ac:dyDescent="0.25">
      <c r="A106">
        <v>105</v>
      </c>
      <c r="B106" t="s">
        <v>128</v>
      </c>
      <c r="C106">
        <v>-1</v>
      </c>
      <c r="D106">
        <v>-1</v>
      </c>
      <c r="E106">
        <v>-1</v>
      </c>
      <c r="F106">
        <v>1</v>
      </c>
      <c r="G106">
        <v>-1</v>
      </c>
      <c r="H106">
        <v>1</v>
      </c>
      <c r="I106">
        <v>1</v>
      </c>
      <c r="J106">
        <v>11.62086301028619</v>
      </c>
      <c r="K106">
        <f t="shared" ref="K106:Q106" si="108">J83-J82</f>
        <v>0.1018596404634593</v>
      </c>
      <c r="L106">
        <f t="shared" si="108"/>
        <v>-0.1238344074375064</v>
      </c>
      <c r="M106">
        <f t="shared" si="108"/>
        <v>-0.13622767972625738</v>
      </c>
      <c r="N106">
        <f t="shared" si="108"/>
        <v>0.25769027863807104</v>
      </c>
      <c r="O106">
        <f t="shared" si="108"/>
        <v>-8.7475666229633937</v>
      </c>
      <c r="P106">
        <f t="shared" si="108"/>
        <v>-0.26181295156222717</v>
      </c>
      <c r="Q106">
        <f t="shared" si="108"/>
        <v>10.002992302978399</v>
      </c>
      <c r="R106">
        <f t="shared" si="101"/>
        <v>0.15629675473403748</v>
      </c>
    </row>
    <row r="107" spans="1:18" x14ac:dyDescent="0.25">
      <c r="A107">
        <v>106</v>
      </c>
      <c r="B107" t="s">
        <v>129</v>
      </c>
      <c r="C107">
        <v>1</v>
      </c>
      <c r="D107">
        <v>-1</v>
      </c>
      <c r="E107">
        <v>-1</v>
      </c>
      <c r="F107">
        <v>1</v>
      </c>
      <c r="G107">
        <v>-1</v>
      </c>
      <c r="H107">
        <v>1</v>
      </c>
      <c r="I107">
        <v>1</v>
      </c>
      <c r="J107">
        <v>13.39154082917069</v>
      </c>
      <c r="K107">
        <f t="shared" ref="K107:Q107" si="109">J85-J84</f>
        <v>0.54699118838968097</v>
      </c>
      <c r="L107">
        <f t="shared" si="109"/>
        <v>0.34172549642153438</v>
      </c>
      <c r="M107">
        <f t="shared" si="109"/>
        <v>-2.2422065287899251</v>
      </c>
      <c r="N107">
        <f t="shared" si="109"/>
        <v>0.55265887988236706</v>
      </c>
      <c r="O107">
        <f t="shared" si="109"/>
        <v>-8.2372134197759337</v>
      </c>
      <c r="P107">
        <f t="shared" si="109"/>
        <v>-0.5402346320076532</v>
      </c>
      <c r="Q107">
        <f t="shared" si="109"/>
        <v>2.5912262120604268E-2</v>
      </c>
      <c r="R107">
        <f t="shared" si="101"/>
        <v>4.0487909563444169E-4</v>
      </c>
    </row>
    <row r="108" spans="1:18" x14ac:dyDescent="0.25">
      <c r="A108">
        <v>107</v>
      </c>
      <c r="B108" t="s">
        <v>130</v>
      </c>
      <c r="C108">
        <v>-1</v>
      </c>
      <c r="D108">
        <v>1</v>
      </c>
      <c r="E108">
        <v>-1</v>
      </c>
      <c r="F108">
        <v>1</v>
      </c>
      <c r="G108">
        <v>-1</v>
      </c>
      <c r="H108">
        <v>1</v>
      </c>
      <c r="I108">
        <v>1</v>
      </c>
      <c r="J108">
        <v>19.842894416577881</v>
      </c>
      <c r="K108">
        <f t="shared" ref="K108:Q108" si="110">J87-J86</f>
        <v>7.6897669384592859E-2</v>
      </c>
      <c r="L108">
        <f t="shared" si="110"/>
        <v>5.500308294577188</v>
      </c>
      <c r="M108">
        <f t="shared" si="110"/>
        <v>-0.33123646266648876</v>
      </c>
      <c r="N108">
        <f t="shared" si="110"/>
        <v>-0.33691974131253755</v>
      </c>
      <c r="O108">
        <f t="shared" si="110"/>
        <v>-7.0166203474022879</v>
      </c>
      <c r="P108">
        <f t="shared" si="110"/>
        <v>-0.26502580407625498</v>
      </c>
      <c r="Q108">
        <f t="shared" si="110"/>
        <v>8.1666510819414917</v>
      </c>
      <c r="R108">
        <f t="shared" si="101"/>
        <v>0.12760392315533581</v>
      </c>
    </row>
    <row r="109" spans="1:18" x14ac:dyDescent="0.25">
      <c r="A109">
        <v>108</v>
      </c>
      <c r="B109" t="s">
        <v>131</v>
      </c>
      <c r="C109">
        <v>1</v>
      </c>
      <c r="D109">
        <v>1</v>
      </c>
      <c r="E109">
        <v>-1</v>
      </c>
      <c r="F109">
        <v>1</v>
      </c>
      <c r="G109">
        <v>-1</v>
      </c>
      <c r="H109">
        <v>1</v>
      </c>
      <c r="I109">
        <v>1</v>
      </c>
      <c r="J109">
        <v>24.784672246260531</v>
      </c>
      <c r="K109">
        <f t="shared" ref="K109:Q109" si="111">J89-J88</f>
        <v>0.77316679057357973</v>
      </c>
      <c r="L109">
        <f t="shared" si="111"/>
        <v>6.4569330995229901</v>
      </c>
      <c r="M109">
        <f t="shared" si="111"/>
        <v>-1.0488937196721935</v>
      </c>
      <c r="N109">
        <f t="shared" si="111"/>
        <v>0.44346185002161675</v>
      </c>
      <c r="O109">
        <f t="shared" si="111"/>
        <v>-6.2899699136917491</v>
      </c>
      <c r="P109">
        <f t="shared" si="111"/>
        <v>-0.81934792560288194</v>
      </c>
      <c r="Q109">
        <f t="shared" si="111"/>
        <v>-1.4650979275084861</v>
      </c>
      <c r="R109">
        <f t="shared" si="101"/>
        <v>-2.2892155117320095E-2</v>
      </c>
    </row>
    <row r="110" spans="1:18" x14ac:dyDescent="0.25">
      <c r="A110">
        <v>109</v>
      </c>
      <c r="B110" t="s">
        <v>132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1</v>
      </c>
      <c r="I110">
        <v>1</v>
      </c>
      <c r="J110">
        <v>11.447164529480361</v>
      </c>
      <c r="K110">
        <f t="shared" ref="K110:Q110" si="112">J91-J90</f>
        <v>0.11774065767433051</v>
      </c>
      <c r="L110">
        <f t="shared" si="112"/>
        <v>9.2478902247625783E-2</v>
      </c>
      <c r="M110">
        <f t="shared" si="112"/>
        <v>-0.17306975133882929</v>
      </c>
      <c r="N110">
        <f t="shared" si="112"/>
        <v>-0.14374082871279903</v>
      </c>
      <c r="O110">
        <f t="shared" si="112"/>
        <v>-5.737700103503439</v>
      </c>
      <c r="P110">
        <f t="shared" si="112"/>
        <v>-0.29095403541863263</v>
      </c>
      <c r="Q110">
        <f t="shared" si="112"/>
        <v>0.54191855494786267</v>
      </c>
      <c r="R110">
        <f t="shared" si="101"/>
        <v>8.4674774210603543E-3</v>
      </c>
    </row>
    <row r="111" spans="1:18" x14ac:dyDescent="0.25">
      <c r="A111">
        <v>110</v>
      </c>
      <c r="B111" t="s">
        <v>133</v>
      </c>
      <c r="C111">
        <v>1</v>
      </c>
      <c r="D111">
        <v>-1</v>
      </c>
      <c r="E111">
        <v>1</v>
      </c>
      <c r="F111">
        <v>1</v>
      </c>
      <c r="G111">
        <v>-1</v>
      </c>
      <c r="H111">
        <v>1</v>
      </c>
      <c r="I111">
        <v>1</v>
      </c>
      <c r="J111">
        <v>11.97773729055632</v>
      </c>
      <c r="K111">
        <f t="shared" ref="K111:Q111" si="113">J93-J92</f>
        <v>3.6395724392106494</v>
      </c>
      <c r="L111">
        <f t="shared" si="113"/>
        <v>0.3837937487687082</v>
      </c>
      <c r="M111">
        <f t="shared" si="113"/>
        <v>-1.7883790598664291</v>
      </c>
      <c r="N111">
        <f t="shared" si="113"/>
        <v>0.21507693796357685</v>
      </c>
      <c r="O111">
        <f t="shared" si="113"/>
        <v>-4.9486229824011154</v>
      </c>
      <c r="P111">
        <f t="shared" si="113"/>
        <v>-0.66596057536869324</v>
      </c>
      <c r="Q111">
        <f t="shared" si="113"/>
        <v>2.3163321856792018</v>
      </c>
      <c r="R111">
        <f t="shared" si="101"/>
        <v>3.6192690401237529E-2</v>
      </c>
    </row>
    <row r="112" spans="1:18" x14ac:dyDescent="0.25">
      <c r="A112">
        <v>111</v>
      </c>
      <c r="B112" t="s">
        <v>134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17.361069852020751</v>
      </c>
      <c r="K112">
        <f t="shared" ref="K112:Q112" si="114">J95-J94</f>
        <v>0.17404591401145986</v>
      </c>
      <c r="L112">
        <f t="shared" si="114"/>
        <v>3.2122066304878789</v>
      </c>
      <c r="M112">
        <f t="shared" si="114"/>
        <v>-0.30421942879040742</v>
      </c>
      <c r="N112">
        <f t="shared" si="114"/>
        <v>1.077689197054557</v>
      </c>
      <c r="O112">
        <f t="shared" si="114"/>
        <v>-1.6665216375776755</v>
      </c>
      <c r="P112">
        <f t="shared" si="114"/>
        <v>0.31684326856779688</v>
      </c>
      <c r="Q112">
        <f t="shared" si="114"/>
        <v>6.0940389573136855E-2</v>
      </c>
      <c r="R112">
        <f t="shared" si="101"/>
        <v>9.5219358708026336E-4</v>
      </c>
    </row>
    <row r="113" spans="1:18" x14ac:dyDescent="0.25">
      <c r="A113">
        <v>112</v>
      </c>
      <c r="B113" t="s">
        <v>135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1</v>
      </c>
      <c r="J113">
        <v>23.890615731531032</v>
      </c>
      <c r="K113">
        <f t="shared" ref="K113:Q113" si="115">J97-J96</f>
        <v>3.9995577519421293</v>
      </c>
      <c r="L113">
        <f t="shared" si="115"/>
        <v>4.0547933432434906</v>
      </c>
      <c r="M113">
        <f t="shared" si="115"/>
        <v>-1.324885931606044</v>
      </c>
      <c r="N113">
        <f t="shared" si="115"/>
        <v>0.60617204806406377</v>
      </c>
      <c r="O113">
        <f t="shared" si="115"/>
        <v>2.3002716613334684</v>
      </c>
      <c r="P113">
        <f t="shared" si="115"/>
        <v>-1.0130235083013535</v>
      </c>
      <c r="Q113">
        <f t="shared" si="115"/>
        <v>2.0121681116352823</v>
      </c>
      <c r="R113">
        <f t="shared" si="101"/>
        <v>3.1440126744301286E-2</v>
      </c>
    </row>
    <row r="114" spans="1:18" x14ac:dyDescent="0.25">
      <c r="A114">
        <v>113</v>
      </c>
      <c r="B114" t="s">
        <v>136</v>
      </c>
      <c r="C114">
        <v>-1</v>
      </c>
      <c r="D114">
        <v>-1</v>
      </c>
      <c r="E114">
        <v>-1</v>
      </c>
      <c r="F114">
        <v>-1</v>
      </c>
      <c r="G114">
        <v>1</v>
      </c>
      <c r="H114">
        <v>1</v>
      </c>
      <c r="I114">
        <v>1</v>
      </c>
      <c r="J114">
        <v>9.537998394328838</v>
      </c>
      <c r="K114">
        <f t="shared" ref="K114:Q114" si="116">J99-J98</f>
        <v>0.95060528746949835</v>
      </c>
      <c r="L114">
        <f t="shared" si="116"/>
        <v>0.52437228279694459</v>
      </c>
      <c r="M114">
        <f t="shared" si="116"/>
        <v>0.59306542451608912</v>
      </c>
      <c r="N114">
        <f t="shared" si="116"/>
        <v>-1.5219692779073384</v>
      </c>
      <c r="O114">
        <f t="shared" si="116"/>
        <v>2.1063847189246729</v>
      </c>
      <c r="P114">
        <f t="shared" si="116"/>
        <v>0.28636372788683673</v>
      </c>
      <c r="Q114">
        <f t="shared" si="116"/>
        <v>1.0512392713177121</v>
      </c>
      <c r="R114">
        <f t="shared" si="101"/>
        <v>1.6425613614339252E-2</v>
      </c>
    </row>
    <row r="115" spans="1:18" x14ac:dyDescent="0.25">
      <c r="A115">
        <v>114</v>
      </c>
      <c r="B115" t="s">
        <v>137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1</v>
      </c>
      <c r="I115">
        <v>1</v>
      </c>
      <c r="J115">
        <v>9.6963211321993725</v>
      </c>
      <c r="K115">
        <f t="shared" ref="K115:Q115" si="117">J101-J100</f>
        <v>1.4271873095262091</v>
      </c>
      <c r="L115">
        <f t="shared" si="117"/>
        <v>0.93999442919441201</v>
      </c>
      <c r="M115">
        <f t="shared" si="117"/>
        <v>1.2709888571970005</v>
      </c>
      <c r="N115">
        <f t="shared" si="117"/>
        <v>0.3245394355592417</v>
      </c>
      <c r="O115">
        <f t="shared" si="117"/>
        <v>1.8612125176718664</v>
      </c>
      <c r="P115">
        <f t="shared" si="117"/>
        <v>1.668329857182016E-3</v>
      </c>
      <c r="Q115">
        <f t="shared" si="117"/>
        <v>3.5519744667348068</v>
      </c>
      <c r="R115">
        <f t="shared" si="101"/>
        <v>5.5499601042731356E-2</v>
      </c>
    </row>
    <row r="116" spans="1:18" x14ac:dyDescent="0.25">
      <c r="A116">
        <v>115</v>
      </c>
      <c r="B116" t="s">
        <v>138</v>
      </c>
      <c r="C116">
        <v>-1</v>
      </c>
      <c r="D116">
        <v>1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11.62580019698345</v>
      </c>
      <c r="K116">
        <f t="shared" ref="K116:Q116" si="118">J103-J102</f>
        <v>0.38859601734021965</v>
      </c>
      <c r="L116">
        <f t="shared" si="118"/>
        <v>3.9563228906113803</v>
      </c>
      <c r="M116">
        <f t="shared" si="118"/>
        <v>0.29122143819327562</v>
      </c>
      <c r="N116">
        <f t="shared" si="118"/>
        <v>-0.91865093034713396</v>
      </c>
      <c r="O116">
        <f t="shared" si="118"/>
        <v>2.7190428804563851</v>
      </c>
      <c r="P116">
        <f t="shared" si="118"/>
        <v>1.0008920992738126</v>
      </c>
      <c r="Q116">
        <f t="shared" si="118"/>
        <v>1.3757688742153071</v>
      </c>
      <c r="R116">
        <f t="shared" si="101"/>
        <v>2.1496388659614174E-2</v>
      </c>
    </row>
    <row r="117" spans="1:18" x14ac:dyDescent="0.25">
      <c r="A117">
        <v>116</v>
      </c>
      <c r="B117" t="s">
        <v>139</v>
      </c>
      <c r="C117">
        <v>1</v>
      </c>
      <c r="D117">
        <v>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12.296229908035739</v>
      </c>
      <c r="K117">
        <f t="shared" ref="K117:Q117" si="119">J105-J104</f>
        <v>1.2591703746200196</v>
      </c>
      <c r="L117">
        <f t="shared" si="119"/>
        <v>5.3805084093094315</v>
      </c>
      <c r="M117">
        <f t="shared" si="119"/>
        <v>0.96770642542386831</v>
      </c>
      <c r="N117">
        <f t="shared" si="119"/>
        <v>-0.15205900684796347</v>
      </c>
      <c r="O117">
        <f t="shared" si="119"/>
        <v>2.1689760232770965</v>
      </c>
      <c r="P117">
        <f t="shared" si="119"/>
        <v>3.2374438556981016</v>
      </c>
      <c r="Q117">
        <f t="shared" si="119"/>
        <v>4.4621087753408712</v>
      </c>
      <c r="R117">
        <f t="shared" si="101"/>
        <v>6.9720449614701113E-2</v>
      </c>
    </row>
    <row r="118" spans="1:18" x14ac:dyDescent="0.25">
      <c r="A118">
        <v>117</v>
      </c>
      <c r="B118" t="s">
        <v>140</v>
      </c>
      <c r="C118">
        <v>-1</v>
      </c>
      <c r="D118">
        <v>-1</v>
      </c>
      <c r="E118">
        <v>1</v>
      </c>
      <c r="F118">
        <v>-1</v>
      </c>
      <c r="G118">
        <v>1</v>
      </c>
      <c r="H118">
        <v>1</v>
      </c>
      <c r="I118">
        <v>1</v>
      </c>
      <c r="J118">
        <v>9.4897217834702587</v>
      </c>
      <c r="K118">
        <f t="shared" ref="K118:Q118" si="120">J107-J106</f>
        <v>1.7706778188845007</v>
      </c>
      <c r="L118">
        <f t="shared" si="120"/>
        <v>0.44513154792622167</v>
      </c>
      <c r="M118">
        <f t="shared" si="120"/>
        <v>0.46555990385904078</v>
      </c>
      <c r="N118">
        <f t="shared" si="120"/>
        <v>-2.1059788490636677</v>
      </c>
      <c r="O118">
        <f t="shared" si="120"/>
        <v>0.29496860124429602</v>
      </c>
      <c r="P118">
        <f t="shared" si="120"/>
        <v>0.51035320318746002</v>
      </c>
      <c r="Q118">
        <f t="shared" si="120"/>
        <v>-0.27842168044542603</v>
      </c>
      <c r="R118">
        <f t="shared" si="101"/>
        <v>-4.3503387569597818E-3</v>
      </c>
    </row>
    <row r="119" spans="1:18" x14ac:dyDescent="0.25">
      <c r="A119">
        <v>118</v>
      </c>
      <c r="B119" t="s">
        <v>141</v>
      </c>
      <c r="C119">
        <v>1</v>
      </c>
      <c r="D119">
        <v>-1</v>
      </c>
      <c r="E119">
        <v>1</v>
      </c>
      <c r="F119">
        <v>-1</v>
      </c>
      <c r="G119">
        <v>1</v>
      </c>
      <c r="H119">
        <v>1</v>
      </c>
      <c r="I119">
        <v>1</v>
      </c>
      <c r="J119">
        <v>9.5629042962152795</v>
      </c>
      <c r="K119">
        <f t="shared" ref="K119:Q119" si="121">J109-J108</f>
        <v>4.9417778296826498</v>
      </c>
      <c r="L119">
        <f t="shared" si="121"/>
        <v>0.69626912118898687</v>
      </c>
      <c r="M119">
        <f t="shared" si="121"/>
        <v>0.95662480494580215</v>
      </c>
      <c r="N119">
        <f t="shared" si="121"/>
        <v>-0.71765725700570471</v>
      </c>
      <c r="O119">
        <f t="shared" si="121"/>
        <v>0.7803815913341543</v>
      </c>
      <c r="P119">
        <f t="shared" si="121"/>
        <v>0.72665043371053883</v>
      </c>
      <c r="Q119">
        <f t="shared" si="121"/>
        <v>-0.55432212152662697</v>
      </c>
      <c r="R119">
        <f t="shared" si="101"/>
        <v>-8.6612831488535463E-3</v>
      </c>
    </row>
    <row r="120" spans="1:18" x14ac:dyDescent="0.25">
      <c r="A120">
        <v>119</v>
      </c>
      <c r="B120" t="s">
        <v>142</v>
      </c>
      <c r="C120">
        <v>-1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11.276281282465829</v>
      </c>
      <c r="K120">
        <f t="shared" ref="K120:Q120" si="122">J111-J110</f>
        <v>0.53057276107595897</v>
      </c>
      <c r="L120">
        <f t="shared" si="122"/>
        <v>3.5218317815363189</v>
      </c>
      <c r="M120">
        <f t="shared" si="122"/>
        <v>0.29131484652108242</v>
      </c>
      <c r="N120">
        <f t="shared" si="122"/>
        <v>-1.6153093085275998</v>
      </c>
      <c r="O120">
        <f t="shared" si="122"/>
        <v>0.35881776667637588</v>
      </c>
      <c r="P120">
        <f t="shared" si="122"/>
        <v>0.78907712110232353</v>
      </c>
      <c r="Q120">
        <f t="shared" si="122"/>
        <v>-0.37500653995006061</v>
      </c>
      <c r="R120">
        <f t="shared" si="101"/>
        <v>-5.8594771867196971E-3</v>
      </c>
    </row>
    <row r="121" spans="1:18" x14ac:dyDescent="0.25">
      <c r="A121">
        <v>120</v>
      </c>
      <c r="B121" t="s">
        <v>143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1</v>
      </c>
      <c r="J121">
        <v>12.15983594692028</v>
      </c>
      <c r="K121">
        <f t="shared" ref="K121:Q121" si="123">J113-J112</f>
        <v>6.5295458795102803</v>
      </c>
      <c r="L121">
        <f t="shared" si="123"/>
        <v>3.8255118379306694</v>
      </c>
      <c r="M121">
        <f t="shared" si="123"/>
        <v>0.8425867127556117</v>
      </c>
      <c r="N121">
        <f t="shared" si="123"/>
        <v>-1.0206665028156365</v>
      </c>
      <c r="O121">
        <f t="shared" si="123"/>
        <v>-0.47151714899049324</v>
      </c>
      <c r="P121">
        <f t="shared" si="123"/>
        <v>3.9667932989111439</v>
      </c>
      <c r="Q121">
        <f t="shared" si="123"/>
        <v>-1.3298667768691503</v>
      </c>
      <c r="R121">
        <f t="shared" si="101"/>
        <v>-2.0779168388580474E-2</v>
      </c>
    </row>
    <row r="122" spans="1:18" x14ac:dyDescent="0.25">
      <c r="A122">
        <v>121</v>
      </c>
      <c r="B122" t="s">
        <v>144</v>
      </c>
      <c r="C122">
        <v>-1</v>
      </c>
      <c r="D122">
        <v>-1</v>
      </c>
      <c r="E122">
        <v>-1</v>
      </c>
      <c r="F122">
        <v>1</v>
      </c>
      <c r="G122">
        <v>1</v>
      </c>
      <c r="H122">
        <v>1</v>
      </c>
      <c r="I122">
        <v>1</v>
      </c>
      <c r="J122">
        <v>11.59273601242279</v>
      </c>
      <c r="K122">
        <f t="shared" ref="K122:Q122" si="124">J115-J114</f>
        <v>0.15832273787053452</v>
      </c>
      <c r="L122">
        <f t="shared" si="124"/>
        <v>0.47658202205671074</v>
      </c>
      <c r="M122">
        <f t="shared" si="124"/>
        <v>0.41562214639746742</v>
      </c>
      <c r="N122">
        <f t="shared" si="124"/>
        <v>0.67792343268091138</v>
      </c>
      <c r="O122">
        <f t="shared" si="124"/>
        <v>1.8465087134665801</v>
      </c>
      <c r="P122">
        <f t="shared" si="124"/>
        <v>-0.24517220125280659</v>
      </c>
      <c r="Q122">
        <f t="shared" si="124"/>
        <v>-0.28469539802965471</v>
      </c>
      <c r="R122">
        <f t="shared" si="101"/>
        <v>-4.4483655942133549E-3</v>
      </c>
    </row>
    <row r="123" spans="1:18" x14ac:dyDescent="0.25">
      <c r="A123">
        <v>122</v>
      </c>
      <c r="B123" t="s">
        <v>145</v>
      </c>
      <c r="C123">
        <v>1</v>
      </c>
      <c r="D123">
        <v>-1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11.70651547181193</v>
      </c>
      <c r="K123">
        <f t="shared" ref="K123:Q123" si="125">J117-J116</f>
        <v>0.67042971105228943</v>
      </c>
      <c r="L123">
        <f t="shared" si="125"/>
        <v>0.87057435727979993</v>
      </c>
      <c r="M123">
        <f t="shared" si="125"/>
        <v>1.4241855186980512</v>
      </c>
      <c r="N123">
        <f t="shared" si="125"/>
        <v>0.67648498723059269</v>
      </c>
      <c r="O123">
        <f t="shared" si="125"/>
        <v>0.76659192349917049</v>
      </c>
      <c r="P123">
        <f t="shared" si="125"/>
        <v>-0.5500668571792886</v>
      </c>
      <c r="Q123">
        <f t="shared" si="125"/>
        <v>2.2365517564242889</v>
      </c>
      <c r="R123">
        <f t="shared" si="101"/>
        <v>3.4946121194129515E-2</v>
      </c>
    </row>
    <row r="124" spans="1:18" x14ac:dyDescent="0.25">
      <c r="A124">
        <v>123</v>
      </c>
      <c r="B124" t="s">
        <v>146</v>
      </c>
      <c r="C124">
        <v>-1</v>
      </c>
      <c r="D124">
        <v>1</v>
      </c>
      <c r="E124">
        <v>-1</v>
      </c>
      <c r="F124">
        <v>1</v>
      </c>
      <c r="G124">
        <v>1</v>
      </c>
      <c r="H124">
        <v>1</v>
      </c>
      <c r="I124">
        <v>1</v>
      </c>
      <c r="J124">
        <v>16.616594042706669</v>
      </c>
      <c r="K124">
        <f t="shared" ref="K124:Q124" si="126">J119-J118</f>
        <v>7.3182512745020745E-2</v>
      </c>
      <c r="L124">
        <f t="shared" si="126"/>
        <v>3.1711000107981491</v>
      </c>
      <c r="M124">
        <f t="shared" si="126"/>
        <v>0.2511375732627652</v>
      </c>
      <c r="N124">
        <f t="shared" si="126"/>
        <v>0.49106490108676137</v>
      </c>
      <c r="O124">
        <f t="shared" si="126"/>
        <v>1.388321592057963</v>
      </c>
      <c r="P124">
        <f t="shared" si="126"/>
        <v>0.48541299008985828</v>
      </c>
      <c r="Q124">
        <f t="shared" si="126"/>
        <v>0.21629723052307881</v>
      </c>
      <c r="R124">
        <f t="shared" si="101"/>
        <v>3.3796442269231064E-3</v>
      </c>
    </row>
    <row r="125" spans="1:18" x14ac:dyDescent="0.25">
      <c r="A125">
        <v>124</v>
      </c>
      <c r="B125" t="s">
        <v>147</v>
      </c>
      <c r="C125">
        <v>1</v>
      </c>
      <c r="D125">
        <v>1</v>
      </c>
      <c r="E125">
        <v>-1</v>
      </c>
      <c r="F125">
        <v>1</v>
      </c>
      <c r="G125">
        <v>1</v>
      </c>
      <c r="H125">
        <v>1</v>
      </c>
      <c r="I125">
        <v>1</v>
      </c>
      <c r="J125">
        <v>22.1404139098602</v>
      </c>
      <c r="K125">
        <f t="shared" ref="K125:Q125" si="127">J121-J120</f>
        <v>0.88355466445445074</v>
      </c>
      <c r="L125">
        <f t="shared" si="127"/>
        <v>5.9989731184343213</v>
      </c>
      <c r="M125">
        <f t="shared" si="127"/>
        <v>0.30368005639435047</v>
      </c>
      <c r="N125">
        <f t="shared" si="127"/>
        <v>0.55127186623452928</v>
      </c>
      <c r="O125">
        <f t="shared" si="127"/>
        <v>0.59464280571196326</v>
      </c>
      <c r="P125">
        <f t="shared" si="127"/>
        <v>-0.83033491566686912</v>
      </c>
      <c r="Q125">
        <f t="shared" si="127"/>
        <v>3.1777161778088203</v>
      </c>
      <c r="R125">
        <f t="shared" si="101"/>
        <v>4.9651815278262817E-2</v>
      </c>
    </row>
    <row r="126" spans="1:18" x14ac:dyDescent="0.25">
      <c r="A126">
        <v>125</v>
      </c>
      <c r="B126" t="s">
        <v>148</v>
      </c>
      <c r="C126">
        <v>-1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11.424532885216379</v>
      </c>
      <c r="K126">
        <f t="shared" ref="K126:Q126" si="128">J123-J122</f>
        <v>0.11377945938913925</v>
      </c>
      <c r="L126">
        <f t="shared" si="128"/>
        <v>0.51210697318175491</v>
      </c>
      <c r="M126">
        <f t="shared" si="128"/>
        <v>0.39399233522308919</v>
      </c>
      <c r="N126">
        <f t="shared" si="128"/>
        <v>1.0085633723005838</v>
      </c>
      <c r="O126">
        <f t="shared" si="128"/>
        <v>-1.4384454503186817E-3</v>
      </c>
      <c r="P126">
        <f t="shared" si="128"/>
        <v>-1.0799167899674096</v>
      </c>
      <c r="Q126">
        <f t="shared" si="128"/>
        <v>-0.30489465592648202</v>
      </c>
      <c r="R126">
        <f t="shared" si="101"/>
        <v>-4.7639789988512815E-3</v>
      </c>
    </row>
    <row r="127" spans="1:18" x14ac:dyDescent="0.25">
      <c r="A127">
        <v>126</v>
      </c>
      <c r="B127" t="s">
        <v>149</v>
      </c>
      <c r="C127">
        <v>1</v>
      </c>
      <c r="D127">
        <v>-1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11.592597372479959</v>
      </c>
      <c r="K127">
        <f t="shared" ref="K127:Q127" si="129">J125-J124</f>
        <v>5.5238198671535308</v>
      </c>
      <c r="L127">
        <f t="shared" si="129"/>
        <v>0.81037215170943</v>
      </c>
      <c r="M127">
        <f t="shared" si="129"/>
        <v>2.8278731076361723</v>
      </c>
      <c r="N127">
        <f t="shared" si="129"/>
        <v>5.2542483131585271E-2</v>
      </c>
      <c r="O127">
        <f t="shared" si="129"/>
        <v>6.020696514776791E-2</v>
      </c>
      <c r="P127">
        <f t="shared" si="129"/>
        <v>-0.79367878634599975</v>
      </c>
      <c r="Q127">
        <f t="shared" si="129"/>
        <v>-1.3157479057567274</v>
      </c>
      <c r="R127">
        <f t="shared" si="101"/>
        <v>-2.0558561027448866E-2</v>
      </c>
    </row>
    <row r="128" spans="1:18" x14ac:dyDescent="0.25">
      <c r="A128">
        <v>127</v>
      </c>
      <c r="B128" t="s">
        <v>150</v>
      </c>
      <c r="C128">
        <v>-1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15.47315458940132</v>
      </c>
      <c r="K128">
        <f t="shared" ref="K128:Q128" si="130">J127-J126</f>
        <v>0.16806448726357992</v>
      </c>
      <c r="L128">
        <f t="shared" si="130"/>
        <v>5.4100404077643915</v>
      </c>
      <c r="M128">
        <f t="shared" si="130"/>
        <v>0.29826517852767509</v>
      </c>
      <c r="N128">
        <f t="shared" si="130"/>
        <v>2.4338807724130831</v>
      </c>
      <c r="O128">
        <f t="shared" si="130"/>
        <v>-0.95602088916899852</v>
      </c>
      <c r="P128">
        <f t="shared" si="130"/>
        <v>6.1645410598086592E-2</v>
      </c>
      <c r="Q128">
        <f t="shared" si="130"/>
        <v>0.28623800362140983</v>
      </c>
      <c r="R128">
        <f t="shared" si="101"/>
        <v>4.4724688065845286E-3</v>
      </c>
    </row>
    <row r="129" spans="1:18" x14ac:dyDescent="0.25">
      <c r="A129">
        <v>128</v>
      </c>
      <c r="B129" t="s">
        <v>151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21.676846205021121</v>
      </c>
      <c r="K129">
        <f t="shared" ref="K129:Q129" si="131">J129-J128</f>
        <v>6.2036916156198014</v>
      </c>
      <c r="L129">
        <f t="shared" si="131"/>
        <v>6.0356271283562215</v>
      </c>
      <c r="M129">
        <f t="shared" si="131"/>
        <v>0.62558672059182996</v>
      </c>
      <c r="N129">
        <f t="shared" si="131"/>
        <v>0.32732154206415487</v>
      </c>
      <c r="O129">
        <f t="shared" si="131"/>
        <v>-2.1065592303489282</v>
      </c>
      <c r="P129">
        <f t="shared" si="131"/>
        <v>-1.1505383411799297</v>
      </c>
      <c r="Q129">
        <f t="shared" si="131"/>
        <v>-1.2121837517780163</v>
      </c>
      <c r="R129">
        <f t="shared" si="101"/>
        <v>-1.8940371121531505E-2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29"/>
  <sheetViews>
    <sheetView workbookViewId="0"/>
  </sheetViews>
  <sheetFormatPr baseColWidth="10" defaultColWidth="9.140625" defaultRowHeight="15" x14ac:dyDescent="0.25"/>
  <sheetData>
    <row r="1" spans="1:18" x14ac:dyDescent="0.25">
      <c r="A1" t="s">
        <v>202</v>
      </c>
      <c r="B1" t="s">
        <v>203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</row>
    <row r="2" spans="1:18" x14ac:dyDescent="0.25">
      <c r="A2">
        <v>1</v>
      </c>
      <c r="B2" t="s">
        <v>24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84126259.35199818</v>
      </c>
      <c r="K2">
        <f t="shared" ref="K2:Q2" si="0">J2+J3</f>
        <v>128157256.25939418</v>
      </c>
      <c r="L2">
        <f t="shared" si="0"/>
        <v>153703518.41403139</v>
      </c>
      <c r="M2">
        <f t="shared" si="0"/>
        <v>296768965.59143054</v>
      </c>
      <c r="N2">
        <f t="shared" si="0"/>
        <v>593375278.44932461</v>
      </c>
      <c r="O2">
        <f t="shared" si="0"/>
        <v>1186783189.595068</v>
      </c>
      <c r="P2">
        <f t="shared" si="0"/>
        <v>2373297917.080945</v>
      </c>
      <c r="Q2">
        <f t="shared" si="0"/>
        <v>4750900315.1197643</v>
      </c>
      <c r="R2">
        <f>Q2/128</f>
        <v>37116408.711873159</v>
      </c>
    </row>
    <row r="3" spans="1:18" x14ac:dyDescent="0.25">
      <c r="A3">
        <v>2</v>
      </c>
      <c r="B3" t="s">
        <v>25</v>
      </c>
      <c r="C3">
        <v>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44030996.907396004</v>
      </c>
      <c r="K3">
        <f t="shared" ref="K3:Q3" si="1">J4+J5</f>
        <v>25546262.154637218</v>
      </c>
      <c r="L3">
        <f t="shared" si="1"/>
        <v>143065447.17739916</v>
      </c>
      <c r="M3">
        <f t="shared" si="1"/>
        <v>296606312.85789406</v>
      </c>
      <c r="N3">
        <f t="shared" si="1"/>
        <v>593407911.14574349</v>
      </c>
      <c r="O3">
        <f t="shared" si="1"/>
        <v>1186514727.4858768</v>
      </c>
      <c r="P3">
        <f t="shared" si="1"/>
        <v>2377602398.0388193</v>
      </c>
      <c r="Q3">
        <f t="shared" si="1"/>
        <v>-1750845519.7384245</v>
      </c>
      <c r="R3">
        <f t="shared" ref="R3:R34" si="2">Q3/64</f>
        <v>-27356961.245912883</v>
      </c>
    </row>
    <row r="4" spans="1:18" x14ac:dyDescent="0.25">
      <c r="A4">
        <v>3</v>
      </c>
      <c r="B4" t="s">
        <v>26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18709411.44760669</v>
      </c>
      <c r="K4">
        <f t="shared" ref="K4:Q4" si="3">J6+J7</f>
        <v>121814624.04975621</v>
      </c>
      <c r="L4">
        <f t="shared" si="3"/>
        <v>153609027.44749087</v>
      </c>
      <c r="M4">
        <f t="shared" si="3"/>
        <v>296780715.18438125</v>
      </c>
      <c r="N4">
        <f t="shared" si="3"/>
        <v>593224031.06790829</v>
      </c>
      <c r="O4">
        <f t="shared" si="3"/>
        <v>1188824056.9668465</v>
      </c>
      <c r="P4">
        <f t="shared" si="3"/>
        <v>-875282006.02403867</v>
      </c>
      <c r="Q4">
        <f t="shared" si="3"/>
        <v>-3251100046.5574017</v>
      </c>
      <c r="R4">
        <f t="shared" si="2"/>
        <v>-50798438.227459401</v>
      </c>
    </row>
    <row r="5" spans="1:18" x14ac:dyDescent="0.25">
      <c r="A5">
        <v>4</v>
      </c>
      <c r="B5" t="s">
        <v>27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6836850.7070305264</v>
      </c>
      <c r="K5">
        <f t="shared" ref="K5:Q5" si="4">J8+J9</f>
        <v>21250823.127642933</v>
      </c>
      <c r="L5">
        <f t="shared" si="4"/>
        <v>142997285.41040322</v>
      </c>
      <c r="M5">
        <f t="shared" si="4"/>
        <v>296627195.96136224</v>
      </c>
      <c r="N5">
        <f t="shared" si="4"/>
        <v>593290696.41796851</v>
      </c>
      <c r="O5">
        <f t="shared" si="4"/>
        <v>1188778341.0719728</v>
      </c>
      <c r="P5">
        <f t="shared" si="4"/>
        <v>-875563513.71438587</v>
      </c>
      <c r="Q5">
        <f t="shared" si="4"/>
        <v>988483145.88649499</v>
      </c>
      <c r="R5">
        <f t="shared" si="2"/>
        <v>15445049.154476484</v>
      </c>
    </row>
    <row r="6" spans="1:18" x14ac:dyDescent="0.25">
      <c r="A6">
        <v>5</v>
      </c>
      <c r="B6" t="s">
        <v>28</v>
      </c>
      <c r="C6">
        <v>-1</v>
      </c>
      <c r="D6">
        <v>-1</v>
      </c>
      <c r="E6">
        <v>1</v>
      </c>
      <c r="F6">
        <v>-1</v>
      </c>
      <c r="G6">
        <v>-1</v>
      </c>
      <c r="H6">
        <v>-1</v>
      </c>
      <c r="I6">
        <v>-1</v>
      </c>
      <c r="J6">
        <v>83660321.628851131</v>
      </c>
      <c r="K6">
        <f t="shared" ref="K6:Q6" si="5">J10+J11</f>
        <v>128121262.3755933</v>
      </c>
      <c r="L6">
        <f t="shared" si="5"/>
        <v>153711766.36246234</v>
      </c>
      <c r="M6">
        <f t="shared" si="5"/>
        <v>296712090.06880963</v>
      </c>
      <c r="N6">
        <f t="shared" si="5"/>
        <v>594409022.39927614</v>
      </c>
      <c r="O6">
        <f t="shared" si="5"/>
        <v>-437665115.8171773</v>
      </c>
      <c r="P6">
        <f t="shared" si="5"/>
        <v>-1625639912.8132968</v>
      </c>
      <c r="Q6">
        <f t="shared" si="5"/>
        <v>-170209059.77825493</v>
      </c>
      <c r="R6">
        <f t="shared" si="2"/>
        <v>-2659516.5590352332</v>
      </c>
    </row>
    <row r="7" spans="1:18" x14ac:dyDescent="0.25">
      <c r="A7">
        <v>6</v>
      </c>
      <c r="B7" t="s">
        <v>29</v>
      </c>
      <c r="C7">
        <v>1</v>
      </c>
      <c r="D7">
        <v>-1</v>
      </c>
      <c r="E7">
        <v>1</v>
      </c>
      <c r="F7">
        <v>-1</v>
      </c>
      <c r="G7">
        <v>-1</v>
      </c>
      <c r="H7">
        <v>-1</v>
      </c>
      <c r="I7">
        <v>-1</v>
      </c>
      <c r="J7">
        <v>38154302.420905083</v>
      </c>
      <c r="K7">
        <f t="shared" ref="K7:Q7" si="6">J12+J13</f>
        <v>25487765.07189757</v>
      </c>
      <c r="L7">
        <f t="shared" si="6"/>
        <v>143068948.82191893</v>
      </c>
      <c r="M7">
        <f t="shared" si="6"/>
        <v>296511940.99909872</v>
      </c>
      <c r="N7">
        <f t="shared" si="6"/>
        <v>594415034.56757045</v>
      </c>
      <c r="O7">
        <f t="shared" si="6"/>
        <v>-437616890.20686138</v>
      </c>
      <c r="P7">
        <f t="shared" si="6"/>
        <v>-1625460133.7441046</v>
      </c>
      <c r="Q7">
        <f t="shared" si="6"/>
        <v>-87916964.754803598</v>
      </c>
      <c r="R7">
        <f t="shared" si="2"/>
        <v>-1373702.5742938062</v>
      </c>
    </row>
    <row r="8" spans="1:18" x14ac:dyDescent="0.25">
      <c r="A8">
        <v>7</v>
      </c>
      <c r="B8" t="s">
        <v>30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16603348.3104262</v>
      </c>
      <c r="K8">
        <f t="shared" ref="K8:Q8" si="7">J14+J15</f>
        <v>121780518.13767287</v>
      </c>
      <c r="L8">
        <f t="shared" si="7"/>
        <v>153625244.01359683</v>
      </c>
      <c r="M8">
        <f t="shared" si="7"/>
        <v>296735295.99246526</v>
      </c>
      <c r="N8">
        <f t="shared" si="7"/>
        <v>594378862.33954275</v>
      </c>
      <c r="O8">
        <f t="shared" si="7"/>
        <v>-437778622.84565139</v>
      </c>
      <c r="P8">
        <f t="shared" si="7"/>
        <v>494363224.54570937</v>
      </c>
      <c r="Q8">
        <f t="shared" si="7"/>
        <v>32823570.914044797</v>
      </c>
      <c r="R8">
        <f t="shared" si="2"/>
        <v>512868.29553194996</v>
      </c>
    </row>
    <row r="9" spans="1:18" x14ac:dyDescent="0.25">
      <c r="A9">
        <v>8</v>
      </c>
      <c r="B9" t="s">
        <v>31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-1</v>
      </c>
      <c r="J9">
        <v>4647474.8172167325</v>
      </c>
      <c r="K9">
        <f t="shared" ref="K9:Q9" si="8">J16+J17</f>
        <v>21216767.272730354</v>
      </c>
      <c r="L9">
        <f t="shared" si="8"/>
        <v>143001951.94776541</v>
      </c>
      <c r="M9">
        <f t="shared" si="8"/>
        <v>296555400.42550325</v>
      </c>
      <c r="N9">
        <f t="shared" si="8"/>
        <v>594399478.7324301</v>
      </c>
      <c r="O9">
        <f t="shared" si="8"/>
        <v>-437784890.86873448</v>
      </c>
      <c r="P9">
        <f t="shared" si="8"/>
        <v>494119921.34078562</v>
      </c>
      <c r="Q9">
        <f t="shared" si="8"/>
        <v>85298068.404627055</v>
      </c>
      <c r="R9">
        <f t="shared" si="2"/>
        <v>1332782.3188222977</v>
      </c>
    </row>
    <row r="10" spans="1:18" x14ac:dyDescent="0.25">
      <c r="A10">
        <v>9</v>
      </c>
      <c r="B10" t="s">
        <v>32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84108915.833056957</v>
      </c>
      <c r="K10">
        <f t="shared" ref="K10:Q10" si="9">J18+J19</f>
        <v>128160726.36633746</v>
      </c>
      <c r="L10">
        <f t="shared" si="9"/>
        <v>153665808.01577553</v>
      </c>
      <c r="M10">
        <f t="shared" si="9"/>
        <v>297229483.25419557</v>
      </c>
      <c r="N10">
        <f t="shared" si="9"/>
        <v>-218841044.66315478</v>
      </c>
      <c r="O10">
        <f t="shared" si="9"/>
        <v>-812741339.37572956</v>
      </c>
      <c r="P10">
        <f t="shared" si="9"/>
        <v>-84958631.4860861</v>
      </c>
      <c r="Q10">
        <f t="shared" si="9"/>
        <v>-924782.69223707914</v>
      </c>
      <c r="R10">
        <f t="shared" si="2"/>
        <v>-14449.729566204362</v>
      </c>
    </row>
    <row r="11" spans="1:18" x14ac:dyDescent="0.25">
      <c r="A11">
        <v>10</v>
      </c>
      <c r="B11" t="s">
        <v>33</v>
      </c>
      <c r="C11">
        <v>1</v>
      </c>
      <c r="D11">
        <v>-1</v>
      </c>
      <c r="E11">
        <v>-1</v>
      </c>
      <c r="F11">
        <v>1</v>
      </c>
      <c r="G11">
        <v>-1</v>
      </c>
      <c r="H11">
        <v>-1</v>
      </c>
      <c r="I11">
        <v>-1</v>
      </c>
      <c r="J11">
        <v>44012346.542536348</v>
      </c>
      <c r="K11">
        <f t="shared" ref="K11:Q11" si="10">J20+J21</f>
        <v>25551039.996124871</v>
      </c>
      <c r="L11">
        <f t="shared" si="10"/>
        <v>143046282.05303413</v>
      </c>
      <c r="M11">
        <f t="shared" si="10"/>
        <v>297179539.14508057</v>
      </c>
      <c r="N11">
        <f t="shared" si="10"/>
        <v>-218824071.15402249</v>
      </c>
      <c r="O11">
        <f t="shared" si="10"/>
        <v>-812898573.43756723</v>
      </c>
      <c r="P11">
        <f t="shared" si="10"/>
        <v>-85250428.292168826</v>
      </c>
      <c r="Q11">
        <f t="shared" si="10"/>
        <v>149742.42446042597</v>
      </c>
      <c r="R11">
        <f t="shared" si="2"/>
        <v>2339.7253821941558</v>
      </c>
    </row>
    <row r="12" spans="1:18" x14ac:dyDescent="0.25">
      <c r="A12">
        <v>11</v>
      </c>
      <c r="B12" t="s">
        <v>34</v>
      </c>
      <c r="C12">
        <v>-1</v>
      </c>
      <c r="D12">
        <v>1</v>
      </c>
      <c r="E12">
        <v>-1</v>
      </c>
      <c r="F12">
        <v>1</v>
      </c>
      <c r="G12">
        <v>-1</v>
      </c>
      <c r="H12">
        <v>-1</v>
      </c>
      <c r="I12">
        <v>-1</v>
      </c>
      <c r="J12">
        <v>18680237.566553868</v>
      </c>
      <c r="K12">
        <f t="shared" ref="K12:Q12" si="11">J22+J23</f>
        <v>121815269.83743018</v>
      </c>
      <c r="L12">
        <f t="shared" si="11"/>
        <v>153550244.23579952</v>
      </c>
      <c r="M12">
        <f t="shared" si="11"/>
        <v>297231229.60312361</v>
      </c>
      <c r="N12">
        <f t="shared" si="11"/>
        <v>-218821945.15583664</v>
      </c>
      <c r="O12">
        <f t="shared" si="11"/>
        <v>-812718724.36776078</v>
      </c>
      <c r="P12">
        <f t="shared" si="11"/>
        <v>-43846174.374660924</v>
      </c>
      <c r="Q12">
        <f t="shared" si="11"/>
        <v>-17816.039768338203</v>
      </c>
      <c r="R12">
        <f t="shared" si="2"/>
        <v>-278.37562138028443</v>
      </c>
    </row>
    <row r="13" spans="1:18" x14ac:dyDescent="0.25">
      <c r="A13">
        <v>12</v>
      </c>
      <c r="B13" t="s">
        <v>35</v>
      </c>
      <c r="C13">
        <v>1</v>
      </c>
      <c r="D13">
        <v>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6807527.5053437008</v>
      </c>
      <c r="K13">
        <f t="shared" ref="K13:Q13" si="12">J24+J25</f>
        <v>21253678.984488744</v>
      </c>
      <c r="L13">
        <f t="shared" si="12"/>
        <v>142961696.7632992</v>
      </c>
      <c r="M13">
        <f t="shared" si="12"/>
        <v>297183804.96444684</v>
      </c>
      <c r="N13">
        <f t="shared" si="12"/>
        <v>-218794945.05102471</v>
      </c>
      <c r="O13">
        <f t="shared" si="12"/>
        <v>-812741409.37634385</v>
      </c>
      <c r="P13">
        <f t="shared" si="12"/>
        <v>-44070790.380142666</v>
      </c>
      <c r="Q13">
        <f t="shared" si="12"/>
        <v>135606.73706718534</v>
      </c>
      <c r="R13">
        <f t="shared" si="2"/>
        <v>2118.855266674771</v>
      </c>
    </row>
    <row r="14" spans="1:18" x14ac:dyDescent="0.25">
      <c r="A14">
        <v>13</v>
      </c>
      <c r="B14" t="s">
        <v>36</v>
      </c>
      <c r="C14">
        <v>-1</v>
      </c>
      <c r="D14">
        <v>-1</v>
      </c>
      <c r="E14">
        <v>1</v>
      </c>
      <c r="F14">
        <v>1</v>
      </c>
      <c r="G14">
        <v>-1</v>
      </c>
      <c r="H14">
        <v>-1</v>
      </c>
      <c r="I14">
        <v>-1</v>
      </c>
      <c r="J14">
        <v>83643186.652874172</v>
      </c>
      <c r="K14">
        <f t="shared" ref="K14:Q14" si="13">J26+J27</f>
        <v>128129278.04779479</v>
      </c>
      <c r="L14">
        <f t="shared" si="13"/>
        <v>153683032.66645545</v>
      </c>
      <c r="M14">
        <f t="shared" si="13"/>
        <v>297222442.04775268</v>
      </c>
      <c r="N14">
        <f t="shared" si="13"/>
        <v>-218892156.73701769</v>
      </c>
      <c r="O14">
        <f t="shared" si="13"/>
        <v>247122363.65158918</v>
      </c>
      <c r="P14">
        <f t="shared" si="13"/>
        <v>16506846.021167487</v>
      </c>
      <c r="Q14">
        <f t="shared" si="13"/>
        <v>134505.45207685232</v>
      </c>
      <c r="R14">
        <f t="shared" si="2"/>
        <v>2101.6476887008175</v>
      </c>
    </row>
    <row r="15" spans="1:18" x14ac:dyDescent="0.25">
      <c r="A15">
        <v>14</v>
      </c>
      <c r="B15" t="s">
        <v>37</v>
      </c>
      <c r="C15">
        <v>1</v>
      </c>
      <c r="D15">
        <v>-1</v>
      </c>
      <c r="E15">
        <v>1</v>
      </c>
      <c r="F15">
        <v>1</v>
      </c>
      <c r="G15">
        <v>-1</v>
      </c>
      <c r="H15">
        <v>-1</v>
      </c>
      <c r="I15">
        <v>-1</v>
      </c>
      <c r="J15">
        <v>38137331.484798707</v>
      </c>
      <c r="K15">
        <f t="shared" ref="K15:Q15" si="14">J28+J29</f>
        <v>25495965.965802044</v>
      </c>
      <c r="L15">
        <f t="shared" si="14"/>
        <v>143052263.32600978</v>
      </c>
      <c r="M15">
        <f t="shared" si="14"/>
        <v>297156420.29179007</v>
      </c>
      <c r="N15">
        <f t="shared" si="14"/>
        <v>-218886466.10863367</v>
      </c>
      <c r="O15">
        <f t="shared" si="14"/>
        <v>247240860.89412022</v>
      </c>
      <c r="P15">
        <f t="shared" si="14"/>
        <v>16316724.892877311</v>
      </c>
      <c r="Q15">
        <f t="shared" si="14"/>
        <v>104480.72239183635</v>
      </c>
      <c r="R15">
        <f t="shared" si="2"/>
        <v>1632.5112873724429</v>
      </c>
    </row>
    <row r="16" spans="1:18" x14ac:dyDescent="0.25">
      <c r="A16">
        <v>15</v>
      </c>
      <c r="B16" t="s">
        <v>38</v>
      </c>
      <c r="C16">
        <v>-1</v>
      </c>
      <c r="D16">
        <v>1</v>
      </c>
      <c r="E16">
        <v>1</v>
      </c>
      <c r="F16">
        <v>1</v>
      </c>
      <c r="G16">
        <v>-1</v>
      </c>
      <c r="H16">
        <v>-1</v>
      </c>
      <c r="I16">
        <v>-1</v>
      </c>
      <c r="J16">
        <v>16576480.764872519</v>
      </c>
      <c r="K16">
        <f t="shared" ref="K16:Q16" si="15">J30+J31</f>
        <v>121783329.41141984</v>
      </c>
      <c r="L16">
        <f t="shared" si="15"/>
        <v>153579633.12790361</v>
      </c>
      <c r="M16">
        <f t="shared" si="15"/>
        <v>297232327.1638422</v>
      </c>
      <c r="N16">
        <f t="shared" si="15"/>
        <v>-218896781.73983777</v>
      </c>
      <c r="O16">
        <f t="shared" si="15"/>
        <v>247053741.33999166</v>
      </c>
      <c r="P16">
        <f t="shared" si="15"/>
        <v>42718142.770995304</v>
      </c>
      <c r="Q16">
        <f t="shared" si="15"/>
        <v>87726.061941117048</v>
      </c>
      <c r="R16">
        <f t="shared" si="2"/>
        <v>1370.7197178299539</v>
      </c>
    </row>
    <row r="17" spans="1:18" x14ac:dyDescent="0.25">
      <c r="A17">
        <v>16</v>
      </c>
      <c r="B17" t="s">
        <v>39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4640286.5078578349</v>
      </c>
      <c r="K17">
        <f t="shared" ref="K17:Q17" si="16">J32+J33</f>
        <v>21218622.536345564</v>
      </c>
      <c r="L17">
        <f t="shared" si="16"/>
        <v>142975767.29759961</v>
      </c>
      <c r="M17">
        <f t="shared" si="16"/>
        <v>297167151.5685879</v>
      </c>
      <c r="N17">
        <f t="shared" si="16"/>
        <v>-218888109.12889668</v>
      </c>
      <c r="O17">
        <f t="shared" si="16"/>
        <v>247066180.00079399</v>
      </c>
      <c r="P17">
        <f t="shared" si="16"/>
        <v>42579925.633631751</v>
      </c>
      <c r="Q17">
        <f t="shared" si="16"/>
        <v>66965.698588296771</v>
      </c>
      <c r="R17">
        <f t="shared" si="2"/>
        <v>1046.339040442137</v>
      </c>
    </row>
    <row r="18" spans="1:18" x14ac:dyDescent="0.25">
      <c r="A18">
        <v>17</v>
      </c>
      <c r="B18" t="s">
        <v>40</v>
      </c>
      <c r="C18">
        <v>-1</v>
      </c>
      <c r="D18">
        <v>-1</v>
      </c>
      <c r="E18">
        <v>-1</v>
      </c>
      <c r="F18">
        <v>-1</v>
      </c>
      <c r="G18">
        <v>1</v>
      </c>
      <c r="H18">
        <v>-1</v>
      </c>
      <c r="I18">
        <v>-1</v>
      </c>
      <c r="J18">
        <v>84126417.061462492</v>
      </c>
      <c r="K18">
        <f t="shared" ref="K18:Q18" si="17">J34+J35</f>
        <v>128151876.62120838</v>
      </c>
      <c r="L18">
        <f t="shared" si="17"/>
        <v>153946241.15987825</v>
      </c>
      <c r="M18">
        <f t="shared" si="17"/>
        <v>-109429715.88633385</v>
      </c>
      <c r="N18">
        <f t="shared" si="17"/>
        <v>-406372043.19550848</v>
      </c>
      <c r="O18">
        <f t="shared" si="17"/>
        <v>-42515922.880094707</v>
      </c>
      <c r="P18">
        <f t="shared" si="17"/>
        <v>-696216.59322839975</v>
      </c>
      <c r="Q18">
        <f t="shared" si="17"/>
        <v>125926.60766077042</v>
      </c>
      <c r="R18">
        <f t="shared" si="2"/>
        <v>1967.6032446995378</v>
      </c>
    </row>
    <row r="19" spans="1:18" x14ac:dyDescent="0.25">
      <c r="A19">
        <v>18</v>
      </c>
      <c r="B19" t="s">
        <v>41</v>
      </c>
      <c r="C19">
        <v>1</v>
      </c>
      <c r="D19">
        <v>-1</v>
      </c>
      <c r="E19">
        <v>-1</v>
      </c>
      <c r="F19">
        <v>-1</v>
      </c>
      <c r="G19">
        <v>1</v>
      </c>
      <c r="H19">
        <v>-1</v>
      </c>
      <c r="I19">
        <v>-1</v>
      </c>
      <c r="J19">
        <v>44034309.304874972</v>
      </c>
      <c r="K19">
        <f t="shared" ref="K19:Q19" si="18">J36+J37</f>
        <v>25513931.394567139</v>
      </c>
      <c r="L19">
        <f t="shared" si="18"/>
        <v>143283242.09431732</v>
      </c>
      <c r="M19">
        <f t="shared" si="18"/>
        <v>-109411328.77682093</v>
      </c>
      <c r="N19">
        <f t="shared" si="18"/>
        <v>-406369296.18022102</v>
      </c>
      <c r="O19">
        <f t="shared" si="18"/>
        <v>-42442708.605991393</v>
      </c>
      <c r="P19">
        <f t="shared" si="18"/>
        <v>-228566.09900867939</v>
      </c>
      <c r="Q19">
        <f t="shared" si="18"/>
        <v>58336.853269338608</v>
      </c>
      <c r="R19">
        <f t="shared" si="2"/>
        <v>911.51333233341575</v>
      </c>
    </row>
    <row r="20" spans="1:18" x14ac:dyDescent="0.25">
      <c r="A20">
        <v>19</v>
      </c>
      <c r="B20" t="s">
        <v>42</v>
      </c>
      <c r="C20">
        <v>-1</v>
      </c>
      <c r="D20">
        <v>1</v>
      </c>
      <c r="E20">
        <v>-1</v>
      </c>
      <c r="F20">
        <v>-1</v>
      </c>
      <c r="G20">
        <v>1</v>
      </c>
      <c r="H20">
        <v>-1</v>
      </c>
      <c r="I20">
        <v>-1</v>
      </c>
      <c r="J20">
        <v>18710995.879794318</v>
      </c>
      <c r="K20">
        <f t="shared" ref="K20:Q20" si="19">J38+J39</f>
        <v>121812280.66750598</v>
      </c>
      <c r="L20">
        <f t="shared" si="19"/>
        <v>153916161.84678924</v>
      </c>
      <c r="M20">
        <f t="shared" si="19"/>
        <v>-109423656.63921678</v>
      </c>
      <c r="N20">
        <f t="shared" si="19"/>
        <v>-406445564.27992898</v>
      </c>
      <c r="O20">
        <f t="shared" si="19"/>
        <v>-42631552.803978801</v>
      </c>
      <c r="P20">
        <f t="shared" si="19"/>
        <v>107401.59374906123</v>
      </c>
      <c r="Q20">
        <f t="shared" si="19"/>
        <v>-14119.813671112061</v>
      </c>
      <c r="R20">
        <f t="shared" si="2"/>
        <v>-220.62208861112595</v>
      </c>
    </row>
    <row r="21" spans="1:18" x14ac:dyDescent="0.25">
      <c r="A21">
        <v>20</v>
      </c>
      <c r="B21" t="s">
        <v>43</v>
      </c>
      <c r="C21">
        <v>1</v>
      </c>
      <c r="D21">
        <v>1</v>
      </c>
      <c r="E21">
        <v>-1</v>
      </c>
      <c r="F21">
        <v>-1</v>
      </c>
      <c r="G21">
        <v>1</v>
      </c>
      <c r="H21">
        <v>-1</v>
      </c>
      <c r="I21">
        <v>-1</v>
      </c>
      <c r="J21">
        <v>6840044.1163305528</v>
      </c>
      <c r="K21">
        <f t="shared" ref="K21:Q21" si="20">J40+J41</f>
        <v>21234001.385528132</v>
      </c>
      <c r="L21">
        <f t="shared" si="20"/>
        <v>143263377.29829133</v>
      </c>
      <c r="M21">
        <f t="shared" si="20"/>
        <v>-109400414.5148057</v>
      </c>
      <c r="N21">
        <f t="shared" si="20"/>
        <v>-406453009.15763819</v>
      </c>
      <c r="O21">
        <f t="shared" si="20"/>
        <v>-42618875.488190025</v>
      </c>
      <c r="P21">
        <f t="shared" si="20"/>
        <v>42340.830711364746</v>
      </c>
      <c r="Q21">
        <f t="shared" si="20"/>
        <v>-67985.961403623223</v>
      </c>
      <c r="R21">
        <f t="shared" si="2"/>
        <v>-1062.2806469316129</v>
      </c>
    </row>
    <row r="22" spans="1:18" x14ac:dyDescent="0.25">
      <c r="A22">
        <v>21</v>
      </c>
      <c r="B22" t="s">
        <v>44</v>
      </c>
      <c r="C22">
        <v>-1</v>
      </c>
      <c r="D22">
        <v>-1</v>
      </c>
      <c r="E22">
        <v>1</v>
      </c>
      <c r="F22">
        <v>-1</v>
      </c>
      <c r="G22">
        <v>1</v>
      </c>
      <c r="H22">
        <v>-1</v>
      </c>
      <c r="I22">
        <v>-1</v>
      </c>
      <c r="J22">
        <v>83660344.930378333</v>
      </c>
      <c r="K22">
        <f t="shared" ref="K22:Q22" si="21">J42+J43</f>
        <v>128100910.5669864</v>
      </c>
      <c r="L22">
        <f t="shared" si="21"/>
        <v>153945698.2346549</v>
      </c>
      <c r="M22">
        <f t="shared" si="21"/>
        <v>-109425044.72404356</v>
      </c>
      <c r="N22">
        <f t="shared" si="21"/>
        <v>-406355610.77675503</v>
      </c>
      <c r="O22">
        <f t="shared" si="21"/>
        <v>-21946398.164333299</v>
      </c>
      <c r="P22">
        <f t="shared" si="21"/>
        <v>-93215.972330451012</v>
      </c>
      <c r="Q22">
        <f t="shared" si="21"/>
        <v>-52535.729562580585</v>
      </c>
      <c r="R22">
        <f t="shared" si="2"/>
        <v>-820.87077441532165</v>
      </c>
    </row>
    <row r="23" spans="1:18" x14ac:dyDescent="0.25">
      <c r="A23">
        <v>22</v>
      </c>
      <c r="B23" t="s">
        <v>45</v>
      </c>
      <c r="C23">
        <v>1</v>
      </c>
      <c r="D23">
        <v>-1</v>
      </c>
      <c r="E23">
        <v>1</v>
      </c>
      <c r="F23">
        <v>-1</v>
      </c>
      <c r="G23">
        <v>1</v>
      </c>
      <c r="H23">
        <v>-1</v>
      </c>
      <c r="I23">
        <v>-1</v>
      </c>
      <c r="J23">
        <v>38154924.907051846</v>
      </c>
      <c r="K23">
        <f t="shared" ref="K23:Q23" si="22">J44+J45</f>
        <v>25449333.668813128</v>
      </c>
      <c r="L23">
        <f t="shared" si="22"/>
        <v>143285531.3684687</v>
      </c>
      <c r="M23">
        <f t="shared" si="22"/>
        <v>-109396900.43179309</v>
      </c>
      <c r="N23">
        <f t="shared" si="22"/>
        <v>-406363113.59100574</v>
      </c>
      <c r="O23">
        <f t="shared" si="22"/>
        <v>-21899776.210327625</v>
      </c>
      <c r="P23">
        <f t="shared" si="22"/>
        <v>75399.932562112808</v>
      </c>
      <c r="Q23">
        <f t="shared" si="22"/>
        <v>-33701.486117683351</v>
      </c>
      <c r="R23">
        <f t="shared" si="2"/>
        <v>-526.58572058880236</v>
      </c>
    </row>
    <row r="24" spans="1:18" x14ac:dyDescent="0.25">
      <c r="A24">
        <v>23</v>
      </c>
      <c r="B24" t="s">
        <v>46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16604428.04016388</v>
      </c>
      <c r="K24">
        <f t="shared" ref="K24:Q24" si="23">J46+J47</f>
        <v>121769729.81821792</v>
      </c>
      <c r="L24">
        <f t="shared" si="23"/>
        <v>153919703.64409029</v>
      </c>
      <c r="M24">
        <f t="shared" si="23"/>
        <v>-109416286.55929965</v>
      </c>
      <c r="N24">
        <f t="shared" si="23"/>
        <v>-406369745.1196726</v>
      </c>
      <c r="O24">
        <f t="shared" si="23"/>
        <v>-22036458.00909932</v>
      </c>
      <c r="P24">
        <f t="shared" si="23"/>
        <v>146343.09155930579</v>
      </c>
      <c r="Q24">
        <f t="shared" si="23"/>
        <v>3806.7699762284756</v>
      </c>
      <c r="R24">
        <f t="shared" si="2"/>
        <v>59.480780878569931</v>
      </c>
    </row>
    <row r="25" spans="1:18" x14ac:dyDescent="0.25">
      <c r="A25">
        <v>24</v>
      </c>
      <c r="B25"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4649250.9443248631</v>
      </c>
      <c r="K25">
        <f t="shared" ref="K25:Q25" si="24">J48+J49</f>
        <v>21191966.94508129</v>
      </c>
      <c r="L25">
        <f t="shared" si="24"/>
        <v>143264101.32035655</v>
      </c>
      <c r="M25">
        <f t="shared" si="24"/>
        <v>-109378658.49172506</v>
      </c>
      <c r="N25">
        <f t="shared" si="24"/>
        <v>-406371664.25667125</v>
      </c>
      <c r="O25">
        <f t="shared" si="24"/>
        <v>-22034332.371043347</v>
      </c>
      <c r="P25">
        <f t="shared" si="24"/>
        <v>-10736.354492120445</v>
      </c>
      <c r="Q25">
        <f t="shared" si="24"/>
        <v>12593.330811850727</v>
      </c>
      <c r="R25">
        <f t="shared" si="2"/>
        <v>196.7707939351676</v>
      </c>
    </row>
    <row r="26" spans="1:18" x14ac:dyDescent="0.25">
      <c r="A26">
        <v>25</v>
      </c>
      <c r="B26" t="s">
        <v>48</v>
      </c>
      <c r="C26">
        <v>-1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84109307.833202749</v>
      </c>
      <c r="K26">
        <f t="shared" ref="K26:Q26" si="25">J50+J51</f>
        <v>128158635.03905739</v>
      </c>
      <c r="L26">
        <f t="shared" si="25"/>
        <v>153939594.3435477</v>
      </c>
      <c r="M26">
        <f t="shared" si="25"/>
        <v>-109451514.94979358</v>
      </c>
      <c r="N26">
        <f t="shared" si="25"/>
        <v>123566367.55913381</v>
      </c>
      <c r="O26">
        <f t="shared" si="25"/>
        <v>8233640.3455865234</v>
      </c>
      <c r="P26">
        <f t="shared" si="25"/>
        <v>103736.67463931441</v>
      </c>
      <c r="Q26">
        <f t="shared" si="25"/>
        <v>32752.64441293478</v>
      </c>
      <c r="R26">
        <f t="shared" si="2"/>
        <v>511.76006895210594</v>
      </c>
    </row>
    <row r="27" spans="1:18" x14ac:dyDescent="0.25">
      <c r="A27">
        <v>26</v>
      </c>
      <c r="B27" t="s">
        <v>49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44019970.214592047</v>
      </c>
      <c r="K27">
        <f t="shared" ref="K27:Q27" si="26">J52+J53</f>
        <v>25524397.627398066</v>
      </c>
      <c r="L27">
        <f t="shared" si="26"/>
        <v>143282847.70420498</v>
      </c>
      <c r="M27">
        <f t="shared" si="26"/>
        <v>-109440641.78722411</v>
      </c>
      <c r="N27">
        <f t="shared" si="26"/>
        <v>123555996.09245537</v>
      </c>
      <c r="O27">
        <f t="shared" si="26"/>
        <v>8273205.6755809635</v>
      </c>
      <c r="P27">
        <f t="shared" si="26"/>
        <v>30768.777437537909</v>
      </c>
      <c r="Q27">
        <f t="shared" si="26"/>
        <v>10200.42459474504</v>
      </c>
      <c r="R27">
        <f t="shared" si="2"/>
        <v>159.38163429289125</v>
      </c>
    </row>
    <row r="28" spans="1:18" x14ac:dyDescent="0.25">
      <c r="A28">
        <v>27</v>
      </c>
      <c r="B28" t="s">
        <v>50</v>
      </c>
      <c r="C28">
        <v>-1</v>
      </c>
      <c r="D28">
        <v>1</v>
      </c>
      <c r="E28">
        <v>-1</v>
      </c>
      <c r="F28">
        <v>1</v>
      </c>
      <c r="G28">
        <v>1</v>
      </c>
      <c r="H28">
        <v>-1</v>
      </c>
      <c r="I28">
        <v>-1</v>
      </c>
      <c r="J28">
        <v>18682912.55832646</v>
      </c>
      <c r="K28">
        <f t="shared" ref="K28:Q28" si="27">J54+J55</f>
        <v>121814538.78809513</v>
      </c>
      <c r="L28">
        <f t="shared" si="27"/>
        <v>153902132.67688653</v>
      </c>
      <c r="M28">
        <f t="shared" si="27"/>
        <v>-109447088.94814494</v>
      </c>
      <c r="N28">
        <f t="shared" si="27"/>
        <v>123640465.52929993</v>
      </c>
      <c r="O28">
        <f t="shared" si="27"/>
        <v>8154141.5153207183</v>
      </c>
      <c r="P28">
        <f t="shared" si="27"/>
        <v>82428.290033310652</v>
      </c>
      <c r="Q28">
        <f t="shared" si="27"/>
        <v>-23979.538779914379</v>
      </c>
      <c r="R28">
        <f t="shared" si="2"/>
        <v>-374.68029343616217</v>
      </c>
    </row>
    <row r="29" spans="1:18" x14ac:dyDescent="0.25">
      <c r="A29">
        <v>28</v>
      </c>
      <c r="B29" t="s">
        <v>51</v>
      </c>
      <c r="C29">
        <v>1</v>
      </c>
      <c r="D29">
        <v>1</v>
      </c>
      <c r="E29">
        <v>-1</v>
      </c>
      <c r="F29">
        <v>1</v>
      </c>
      <c r="G29">
        <v>1</v>
      </c>
      <c r="H29">
        <v>-1</v>
      </c>
      <c r="I29">
        <v>-1</v>
      </c>
      <c r="J29">
        <v>6813053.4074755833</v>
      </c>
      <c r="K29">
        <f t="shared" ref="K29:Q29" si="28">J56+J57</f>
        <v>21237724.537914649</v>
      </c>
      <c r="L29">
        <f t="shared" si="28"/>
        <v>143254287.61490354</v>
      </c>
      <c r="M29">
        <f t="shared" si="28"/>
        <v>-109439377.16048872</v>
      </c>
      <c r="N29">
        <f t="shared" si="28"/>
        <v>123600395.36482029</v>
      </c>
      <c r="O29">
        <f t="shared" si="28"/>
        <v>8162583.3775565922</v>
      </c>
      <c r="P29">
        <f t="shared" si="28"/>
        <v>22052.432358525693</v>
      </c>
      <c r="Q29">
        <f t="shared" si="28"/>
        <v>-41617.550028778613</v>
      </c>
      <c r="R29">
        <f t="shared" si="2"/>
        <v>-650.27421919966582</v>
      </c>
    </row>
    <row r="30" spans="1:18" x14ac:dyDescent="0.25">
      <c r="A30">
        <v>29</v>
      </c>
      <c r="B30" t="s">
        <v>52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83643248.818067029</v>
      </c>
      <c r="K30">
        <f t="shared" ref="K30:Q30" si="29">J58+J59</f>
        <v>128120881.57400192</v>
      </c>
      <c r="L30">
        <f t="shared" si="29"/>
        <v>153946506.56377777</v>
      </c>
      <c r="M30">
        <f t="shared" si="29"/>
        <v>-109454574.08771887</v>
      </c>
      <c r="N30">
        <f t="shared" si="29"/>
        <v>123530427.10342741</v>
      </c>
      <c r="O30">
        <f t="shared" si="29"/>
        <v>21347972.863149118</v>
      </c>
      <c r="P30">
        <f t="shared" si="29"/>
        <v>82090.409053355455</v>
      </c>
      <c r="Q30">
        <f t="shared" si="29"/>
        <v>-18342.116339981556</v>
      </c>
      <c r="R30">
        <f t="shared" si="2"/>
        <v>-286.59556781221181</v>
      </c>
    </row>
    <row r="31" spans="1:18" x14ac:dyDescent="0.25">
      <c r="A31">
        <v>30</v>
      </c>
      <c r="B31" t="s">
        <v>53</v>
      </c>
      <c r="C31">
        <v>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38140080.59335281</v>
      </c>
      <c r="K31">
        <f t="shared" ref="K31:Q31" si="30">J60+J61</f>
        <v>25458751.553901676</v>
      </c>
      <c r="L31">
        <f t="shared" si="30"/>
        <v>143285820.60006446</v>
      </c>
      <c r="M31">
        <f t="shared" si="30"/>
        <v>-109442207.65211889</v>
      </c>
      <c r="N31">
        <f t="shared" si="30"/>
        <v>123523314.23656425</v>
      </c>
      <c r="O31">
        <f t="shared" si="30"/>
        <v>21370169.90784619</v>
      </c>
      <c r="P31">
        <f t="shared" si="30"/>
        <v>5635.6528877615929</v>
      </c>
      <c r="Q31">
        <f t="shared" si="30"/>
        <v>-4820.6051260605454</v>
      </c>
      <c r="R31">
        <f t="shared" si="2"/>
        <v>-75.321955094696023</v>
      </c>
    </row>
    <row r="32" spans="1:18" x14ac:dyDescent="0.25">
      <c r="A32">
        <v>31</v>
      </c>
      <c r="B32" t="s">
        <v>54</v>
      </c>
      <c r="C32">
        <v>-1</v>
      </c>
      <c r="D32">
        <v>1</v>
      </c>
      <c r="E32">
        <v>1</v>
      </c>
      <c r="F32">
        <v>1</v>
      </c>
      <c r="G32">
        <v>1</v>
      </c>
      <c r="H32">
        <v>-1</v>
      </c>
      <c r="I32">
        <v>-1</v>
      </c>
      <c r="J32">
        <v>16578336.028487731</v>
      </c>
      <c r="K32">
        <f t="shared" ref="K32:Q32" si="31">J62+J63</f>
        <v>121777797.38664889</v>
      </c>
      <c r="L32">
        <f t="shared" si="31"/>
        <v>153910374.69586945</v>
      </c>
      <c r="M32">
        <f t="shared" si="31"/>
        <v>-109449749.28689119</v>
      </c>
      <c r="N32">
        <f t="shared" si="31"/>
        <v>123538305.73208818</v>
      </c>
      <c r="O32">
        <f t="shared" si="31"/>
        <v>21289698.353405166</v>
      </c>
      <c r="P32">
        <f t="shared" si="31"/>
        <v>65841.823201034218</v>
      </c>
      <c r="Q32">
        <f t="shared" si="31"/>
        <v>4189.4338414669037</v>
      </c>
      <c r="R32">
        <f t="shared" si="2"/>
        <v>65.45990377292037</v>
      </c>
    </row>
    <row r="33" spans="1:18" x14ac:dyDescent="0.25">
      <c r="A33">
        <v>32</v>
      </c>
      <c r="B33" t="s">
        <v>55</v>
      </c>
      <c r="C33">
        <v>1</v>
      </c>
      <c r="D33">
        <v>1</v>
      </c>
      <c r="E33">
        <v>1</v>
      </c>
      <c r="F33">
        <v>1</v>
      </c>
      <c r="G33">
        <v>1</v>
      </c>
      <c r="H33">
        <v>-1</v>
      </c>
      <c r="I33">
        <v>-1</v>
      </c>
      <c r="J33">
        <v>4640286.5078578349</v>
      </c>
      <c r="K33">
        <f t="shared" ref="K33:Q33" si="32">J64+J65</f>
        <v>21197969.910950713</v>
      </c>
      <c r="L33">
        <f t="shared" si="32"/>
        <v>143256776.87271845</v>
      </c>
      <c r="M33">
        <f t="shared" si="32"/>
        <v>-109438359.84200549</v>
      </c>
      <c r="N33">
        <f t="shared" si="32"/>
        <v>123527874.2687058</v>
      </c>
      <c r="O33">
        <f t="shared" si="32"/>
        <v>21290227.280226581</v>
      </c>
      <c r="P33">
        <f t="shared" si="32"/>
        <v>1123.875387262553</v>
      </c>
      <c r="Q33">
        <f t="shared" si="32"/>
        <v>13317.654145114124</v>
      </c>
      <c r="R33">
        <f t="shared" si="2"/>
        <v>208.08834601740818</v>
      </c>
    </row>
    <row r="34" spans="1:18" x14ac:dyDescent="0.25">
      <c r="A34">
        <v>33</v>
      </c>
      <c r="B34" t="s">
        <v>56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1</v>
      </c>
      <c r="I34">
        <v>-1</v>
      </c>
      <c r="J34">
        <v>84125074.853259102</v>
      </c>
      <c r="K34">
        <f t="shared" ref="K34:Q34" si="33">J66+J67</f>
        <v>128279694.4205415</v>
      </c>
      <c r="L34">
        <f t="shared" si="33"/>
        <v>-51967823.185178339</v>
      </c>
      <c r="M34">
        <f t="shared" si="33"/>
        <v>-203174795.02687025</v>
      </c>
      <c r="N34">
        <f t="shared" si="33"/>
        <v>-21249813.273719877</v>
      </c>
      <c r="O34">
        <f t="shared" si="33"/>
        <v>-316171.95655548573</v>
      </c>
      <c r="P34">
        <f t="shared" si="33"/>
        <v>99298.046479105949</v>
      </c>
      <c r="Q34">
        <f t="shared" si="33"/>
        <v>-314178.00406479836</v>
      </c>
      <c r="R34">
        <f t="shared" si="2"/>
        <v>-4909.0313135124743</v>
      </c>
    </row>
    <row r="35" spans="1:18" x14ac:dyDescent="0.25">
      <c r="A35">
        <v>34</v>
      </c>
      <c r="B35" t="s">
        <v>57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I35">
        <v>-1</v>
      </c>
      <c r="J35">
        <v>44026801.767949283</v>
      </c>
      <c r="K35">
        <f t="shared" ref="K35:Q35" si="34">J68+J69</f>
        <v>25666546.739336774</v>
      </c>
      <c r="L35">
        <f t="shared" si="34"/>
        <v>-57461892.701155514</v>
      </c>
      <c r="M35">
        <f t="shared" si="34"/>
        <v>-203197248.16863826</v>
      </c>
      <c r="N35">
        <f t="shared" si="34"/>
        <v>-21266109.60637483</v>
      </c>
      <c r="O35">
        <f t="shared" si="34"/>
        <v>-380044.63667291403</v>
      </c>
      <c r="P35">
        <f t="shared" si="34"/>
        <v>26628.561181664467</v>
      </c>
      <c r="Q35">
        <f t="shared" si="34"/>
        <v>41957.58723282814</v>
      </c>
      <c r="R35">
        <f t="shared" ref="R35:R66" si="35">Q35/64</f>
        <v>655.58730051293969</v>
      </c>
    </row>
    <row r="36" spans="1:18" x14ac:dyDescent="0.25">
      <c r="A36">
        <v>35</v>
      </c>
      <c r="B36" t="s">
        <v>58</v>
      </c>
      <c r="C36">
        <v>-1</v>
      </c>
      <c r="D36">
        <v>1</v>
      </c>
      <c r="E36">
        <v>-1</v>
      </c>
      <c r="F36">
        <v>-1</v>
      </c>
      <c r="G36">
        <v>-1</v>
      </c>
      <c r="H36">
        <v>1</v>
      </c>
      <c r="I36">
        <v>-1</v>
      </c>
      <c r="J36">
        <v>18693425.973397151</v>
      </c>
      <c r="K36">
        <f t="shared" ref="K36:Q36" si="36">J70+J71</f>
        <v>121930308.53902002</v>
      </c>
      <c r="L36">
        <f t="shared" si="36"/>
        <v>-51969279.351730779</v>
      </c>
      <c r="M36">
        <f t="shared" si="36"/>
        <v>-203171277.22315401</v>
      </c>
      <c r="N36">
        <f t="shared" si="36"/>
        <v>-21208073.435241729</v>
      </c>
      <c r="O36">
        <f t="shared" si="36"/>
        <v>-97368.74779176712</v>
      </c>
      <c r="P36">
        <f t="shared" si="36"/>
        <v>43973.613944232464</v>
      </c>
      <c r="Q36">
        <f t="shared" si="36"/>
        <v>-179919.07042074203</v>
      </c>
      <c r="R36">
        <f t="shared" si="35"/>
        <v>-2811.2354753240943</v>
      </c>
    </row>
    <row r="37" spans="1:18" x14ac:dyDescent="0.25">
      <c r="A37">
        <v>36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-1</v>
      </c>
      <c r="J37">
        <v>6820505.4211699897</v>
      </c>
      <c r="K37">
        <f t="shared" ref="K37:Q37" si="37">J72+J73</f>
        <v>21352933.555297296</v>
      </c>
      <c r="L37">
        <f t="shared" si="37"/>
        <v>-57442049.425090149</v>
      </c>
      <c r="M37">
        <f t="shared" si="37"/>
        <v>-203198018.95706701</v>
      </c>
      <c r="N37">
        <f t="shared" si="37"/>
        <v>-21234635.170749664</v>
      </c>
      <c r="O37">
        <f t="shared" si="37"/>
        <v>-131197.35121691227</v>
      </c>
      <c r="P37">
        <f t="shared" si="37"/>
        <v>14363.239325106144</v>
      </c>
      <c r="Q37">
        <f t="shared" si="37"/>
        <v>130935.90333336592</v>
      </c>
      <c r="R37">
        <f t="shared" si="35"/>
        <v>2045.8734895838425</v>
      </c>
    </row>
    <row r="38" spans="1:18" x14ac:dyDescent="0.25">
      <c r="A38">
        <v>37</v>
      </c>
      <c r="B38" t="s">
        <v>60</v>
      </c>
      <c r="C38">
        <v>-1</v>
      </c>
      <c r="D38">
        <v>-1</v>
      </c>
      <c r="E38">
        <v>1</v>
      </c>
      <c r="F38">
        <v>-1</v>
      </c>
      <c r="G38">
        <v>-1</v>
      </c>
      <c r="H38">
        <v>1</v>
      </c>
      <c r="I38">
        <v>-1</v>
      </c>
      <c r="J38">
        <v>83659634.401035428</v>
      </c>
      <c r="K38">
        <f t="shared" ref="K38:Q38" si="38">J74+J75</f>
        <v>128258899.40505509</v>
      </c>
      <c r="L38">
        <f t="shared" si="38"/>
        <v>-51963059.520051286</v>
      </c>
      <c r="M38">
        <f t="shared" si="38"/>
        <v>-203216224.50861907</v>
      </c>
      <c r="N38">
        <f t="shared" si="38"/>
        <v>-21315783.614058852</v>
      </c>
      <c r="O38">
        <f t="shared" si="38"/>
        <v>41629.233924001455</v>
      </c>
      <c r="P38">
        <f t="shared" si="38"/>
        <v>-4697.8624217510223</v>
      </c>
      <c r="Q38">
        <f t="shared" si="38"/>
        <v>85891.589892089367</v>
      </c>
      <c r="R38">
        <f t="shared" si="35"/>
        <v>1342.0560920638964</v>
      </c>
    </row>
    <row r="39" spans="1:18" x14ac:dyDescent="0.25">
      <c r="A39">
        <v>38</v>
      </c>
      <c r="B39" t="s">
        <v>61</v>
      </c>
      <c r="C39">
        <v>1</v>
      </c>
      <c r="D39">
        <v>-1</v>
      </c>
      <c r="E39">
        <v>1</v>
      </c>
      <c r="F39">
        <v>-1</v>
      </c>
      <c r="G39">
        <v>-1</v>
      </c>
      <c r="H39">
        <v>1</v>
      </c>
      <c r="I39">
        <v>-1</v>
      </c>
      <c r="J39">
        <v>38152646.266470551</v>
      </c>
      <c r="K39">
        <f t="shared" ref="K39:Q39" si="39">J76+J77</f>
        <v>25657262.441734161</v>
      </c>
      <c r="L39">
        <f t="shared" si="39"/>
        <v>-57460597.119165502</v>
      </c>
      <c r="M39">
        <f t="shared" si="39"/>
        <v>-203229339.77130991</v>
      </c>
      <c r="N39">
        <f t="shared" si="39"/>
        <v>-21315769.189919949</v>
      </c>
      <c r="O39">
        <f t="shared" si="39"/>
        <v>65772.359825059772</v>
      </c>
      <c r="P39">
        <f t="shared" si="39"/>
        <v>-9421.9512493610382</v>
      </c>
      <c r="Q39">
        <f t="shared" si="39"/>
        <v>48747.592061646283</v>
      </c>
      <c r="R39">
        <f t="shared" si="35"/>
        <v>761.68112596322317</v>
      </c>
    </row>
    <row r="40" spans="1:18" x14ac:dyDescent="0.25">
      <c r="A40">
        <v>39</v>
      </c>
      <c r="B40" t="s">
        <v>62</v>
      </c>
      <c r="C40">
        <v>-1</v>
      </c>
      <c r="D40">
        <v>1</v>
      </c>
      <c r="E40">
        <v>1</v>
      </c>
      <c r="F40">
        <v>-1</v>
      </c>
      <c r="G40">
        <v>-1</v>
      </c>
      <c r="H40">
        <v>1</v>
      </c>
      <c r="I40">
        <v>-1</v>
      </c>
      <c r="J40">
        <v>16590432.168734919</v>
      </c>
      <c r="K40">
        <f t="shared" ref="K40:Q40" si="40">J78+J79</f>
        <v>121913414.22339901</v>
      </c>
      <c r="L40">
        <f t="shared" si="40"/>
        <v>-51959196.76946158</v>
      </c>
      <c r="M40">
        <f t="shared" si="40"/>
        <v>-203211051.66183981</v>
      </c>
      <c r="N40">
        <f t="shared" si="40"/>
        <v>-21304591.701325715</v>
      </c>
      <c r="O40">
        <f t="shared" si="40"/>
        <v>18584.950225681067</v>
      </c>
      <c r="P40">
        <f t="shared" si="40"/>
        <v>-50441.631158083677</v>
      </c>
      <c r="Q40">
        <f t="shared" si="40"/>
        <v>48007.192230314016</v>
      </c>
      <c r="R40">
        <f t="shared" si="35"/>
        <v>750.11237859865651</v>
      </c>
    </row>
    <row r="41" spans="1:18" x14ac:dyDescent="0.25">
      <c r="A41">
        <v>40</v>
      </c>
      <c r="B41" t="s">
        <v>63</v>
      </c>
      <c r="C41">
        <v>1</v>
      </c>
      <c r="D41">
        <v>1</v>
      </c>
      <c r="E41">
        <v>1</v>
      </c>
      <c r="F41">
        <v>-1</v>
      </c>
      <c r="G41">
        <v>-1</v>
      </c>
      <c r="H41">
        <v>1</v>
      </c>
      <c r="I41">
        <v>-1</v>
      </c>
      <c r="J41">
        <v>4643569.216793214</v>
      </c>
      <c r="K41">
        <f t="shared" ref="K41:Q41" si="41">J80+J81</f>
        <v>21349963.074892327</v>
      </c>
      <c r="L41">
        <f t="shared" si="41"/>
        <v>-57441217.745344117</v>
      </c>
      <c r="M41">
        <f t="shared" si="41"/>
        <v>-203241957.49579841</v>
      </c>
      <c r="N41">
        <f t="shared" si="41"/>
        <v>-21314283.786864311</v>
      </c>
      <c r="O41">
        <f t="shared" si="41"/>
        <v>23755.88048568368</v>
      </c>
      <c r="P41">
        <f t="shared" si="41"/>
        <v>-17544.330245539546</v>
      </c>
      <c r="Q41">
        <f t="shared" si="41"/>
        <v>22725.971518486738</v>
      </c>
      <c r="R41">
        <f t="shared" si="35"/>
        <v>355.09330497635528</v>
      </c>
    </row>
    <row r="42" spans="1:18" x14ac:dyDescent="0.25">
      <c r="A42">
        <v>41</v>
      </c>
      <c r="B42" t="s">
        <v>64</v>
      </c>
      <c r="C42">
        <v>-1</v>
      </c>
      <c r="D42">
        <v>-1</v>
      </c>
      <c r="E42">
        <v>-1</v>
      </c>
      <c r="F42">
        <v>1</v>
      </c>
      <c r="G42">
        <v>-1</v>
      </c>
      <c r="H42">
        <v>1</v>
      </c>
      <c r="I42">
        <v>-1</v>
      </c>
      <c r="J42">
        <v>84106524.704342127</v>
      </c>
      <c r="K42">
        <f t="shared" ref="K42:Q42" si="42">J82+J83</f>
        <v>128281601.99846251</v>
      </c>
      <c r="L42">
        <f t="shared" si="42"/>
        <v>-51971193.63753698</v>
      </c>
      <c r="M42">
        <f t="shared" si="42"/>
        <v>-203190522.66492742</v>
      </c>
      <c r="N42">
        <f t="shared" si="42"/>
        <v>-10966839.589336544</v>
      </c>
      <c r="O42">
        <f t="shared" si="42"/>
        <v>-49194.875681012869</v>
      </c>
      <c r="P42">
        <f t="shared" si="42"/>
        <v>-42858.068162888288</v>
      </c>
      <c r="Q42">
        <f t="shared" si="42"/>
        <v>-97701.283542573452</v>
      </c>
      <c r="R42">
        <f t="shared" si="35"/>
        <v>-1526.5825553527102</v>
      </c>
    </row>
    <row r="43" spans="1:18" x14ac:dyDescent="0.25">
      <c r="A43">
        <v>42</v>
      </c>
      <c r="B43" t="s">
        <v>65</v>
      </c>
      <c r="C43">
        <v>1</v>
      </c>
      <c r="D43">
        <v>-1</v>
      </c>
      <c r="E43">
        <v>-1</v>
      </c>
      <c r="F43">
        <v>1</v>
      </c>
      <c r="G43">
        <v>-1</v>
      </c>
      <c r="H43">
        <v>1</v>
      </c>
      <c r="I43">
        <v>-1</v>
      </c>
      <c r="J43">
        <v>43994385.86264427</v>
      </c>
      <c r="K43">
        <f t="shared" ref="K43:Q43" si="43">J84+J85</f>
        <v>25664096.236192401</v>
      </c>
      <c r="L43">
        <f t="shared" si="43"/>
        <v>-57453851.086506583</v>
      </c>
      <c r="M43">
        <f t="shared" si="43"/>
        <v>-203165088.11182761</v>
      </c>
      <c r="N43">
        <f t="shared" si="43"/>
        <v>-10979558.574996755</v>
      </c>
      <c r="O43">
        <f t="shared" si="43"/>
        <v>-44021.096649438143</v>
      </c>
      <c r="P43">
        <f t="shared" si="43"/>
        <v>-9677.661399692297</v>
      </c>
      <c r="Q43">
        <f t="shared" si="43"/>
        <v>29314.056161060929</v>
      </c>
      <c r="R43">
        <f t="shared" si="35"/>
        <v>458.03212751657702</v>
      </c>
    </row>
    <row r="44" spans="1:18" x14ac:dyDescent="0.25">
      <c r="A44">
        <v>43</v>
      </c>
      <c r="B44" t="s">
        <v>66</v>
      </c>
      <c r="C44">
        <v>-1</v>
      </c>
      <c r="D44">
        <v>1</v>
      </c>
      <c r="E44">
        <v>-1</v>
      </c>
      <c r="F44">
        <v>1</v>
      </c>
      <c r="G44">
        <v>-1</v>
      </c>
      <c r="H44">
        <v>1</v>
      </c>
      <c r="I44">
        <v>-1</v>
      </c>
      <c r="J44">
        <v>18653165.432680368</v>
      </c>
      <c r="K44">
        <f t="shared" ref="K44:Q44" si="44">J86+J87</f>
        <v>121931374.0144995</v>
      </c>
      <c r="L44">
        <f t="shared" si="44"/>
        <v>-51969136.038245469</v>
      </c>
      <c r="M44">
        <f t="shared" si="44"/>
        <v>-203194722.42280042</v>
      </c>
      <c r="N44">
        <f t="shared" si="44"/>
        <v>-10941285.804271765</v>
      </c>
      <c r="O44">
        <f t="shared" si="44"/>
        <v>51765.807694911957</v>
      </c>
      <c r="P44">
        <f t="shared" si="44"/>
        <v>-29923.58744430542</v>
      </c>
      <c r="Q44">
        <f t="shared" si="44"/>
        <v>-22957.903796136379</v>
      </c>
      <c r="R44">
        <f t="shared" si="35"/>
        <v>-358.71724681463093</v>
      </c>
    </row>
    <row r="45" spans="1:18" x14ac:dyDescent="0.25">
      <c r="A45">
        <v>44</v>
      </c>
      <c r="B45" t="s">
        <v>67</v>
      </c>
      <c r="C45">
        <v>1</v>
      </c>
      <c r="D45">
        <v>1</v>
      </c>
      <c r="E45">
        <v>-1</v>
      </c>
      <c r="F45">
        <v>1</v>
      </c>
      <c r="G45">
        <v>-1</v>
      </c>
      <c r="H45">
        <v>1</v>
      </c>
      <c r="I45">
        <v>-1</v>
      </c>
      <c r="J45">
        <v>6796168.2361327596</v>
      </c>
      <c r="K45">
        <f t="shared" ref="K45:Q45" si="45">J88+J89</f>
        <v>21354157.353969198</v>
      </c>
      <c r="L45">
        <f t="shared" si="45"/>
        <v>-57427764.393547632</v>
      </c>
      <c r="M45">
        <f t="shared" si="45"/>
        <v>-203168391.16820532</v>
      </c>
      <c r="N45">
        <f t="shared" si="45"/>
        <v>-10958490.40605586</v>
      </c>
      <c r="O45">
        <f t="shared" si="45"/>
        <v>23634.124867200851</v>
      </c>
      <c r="P45">
        <f t="shared" si="45"/>
        <v>-3777.8986733779311</v>
      </c>
      <c r="Q45">
        <f t="shared" si="45"/>
        <v>88747.025133498013</v>
      </c>
      <c r="R45">
        <f t="shared" si="35"/>
        <v>1386.6722677109065</v>
      </c>
    </row>
    <row r="46" spans="1:18" x14ac:dyDescent="0.25">
      <c r="A46">
        <v>45</v>
      </c>
      <c r="B46" t="s">
        <v>68</v>
      </c>
      <c r="C46">
        <v>-1</v>
      </c>
      <c r="D46">
        <v>-1</v>
      </c>
      <c r="E46">
        <v>1</v>
      </c>
      <c r="F46">
        <v>1</v>
      </c>
      <c r="G46">
        <v>-1</v>
      </c>
      <c r="H46">
        <v>1</v>
      </c>
      <c r="I46">
        <v>-1</v>
      </c>
      <c r="J46">
        <v>83641767.54960683</v>
      </c>
      <c r="K46">
        <f t="shared" ref="K46:Q46" si="46">J90+J91</f>
        <v>128261923.08941765</v>
      </c>
      <c r="L46">
        <f t="shared" si="46"/>
        <v>-51963124.895506762</v>
      </c>
      <c r="M46">
        <f t="shared" si="46"/>
        <v>-203191480.36026871</v>
      </c>
      <c r="N46">
        <f t="shared" si="46"/>
        <v>-11016862.89011509</v>
      </c>
      <c r="O46">
        <f t="shared" si="46"/>
        <v>33870.972841545939</v>
      </c>
      <c r="P46">
        <f t="shared" si="46"/>
        <v>6006.8389736115932</v>
      </c>
      <c r="Q46">
        <f t="shared" si="46"/>
        <v>13237.984532773495</v>
      </c>
      <c r="R46">
        <f t="shared" si="35"/>
        <v>206.84350832458586</v>
      </c>
    </row>
    <row r="47" spans="1:18" x14ac:dyDescent="0.25">
      <c r="A47">
        <v>46</v>
      </c>
      <c r="B47" t="s">
        <v>69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38127962.268611088</v>
      </c>
      <c r="K47">
        <f t="shared" ref="K47:Q47" si="47">J92+J93</f>
        <v>25657780.554672658</v>
      </c>
      <c r="L47">
        <f t="shared" si="47"/>
        <v>-57453161.663792886</v>
      </c>
      <c r="M47">
        <f t="shared" si="47"/>
        <v>-203178264.75940388</v>
      </c>
      <c r="N47">
        <f t="shared" si="47"/>
        <v>-11019595.11898423</v>
      </c>
      <c r="O47">
        <f t="shared" si="47"/>
        <v>112472.11871775985</v>
      </c>
      <c r="P47">
        <f t="shared" si="47"/>
        <v>-2200.0689973831177</v>
      </c>
      <c r="Q47">
        <f t="shared" si="47"/>
        <v>12913.136014722288</v>
      </c>
      <c r="R47">
        <f t="shared" si="35"/>
        <v>201.76775023003574</v>
      </c>
    </row>
    <row r="48" spans="1:18" x14ac:dyDescent="0.25">
      <c r="A48">
        <v>47</v>
      </c>
      <c r="B48" t="s">
        <v>70</v>
      </c>
      <c r="C48">
        <v>-1</v>
      </c>
      <c r="D48">
        <v>1</v>
      </c>
      <c r="E48">
        <v>1</v>
      </c>
      <c r="F48">
        <v>1</v>
      </c>
      <c r="G48">
        <v>-1</v>
      </c>
      <c r="H48">
        <v>1</v>
      </c>
      <c r="I48">
        <v>-1</v>
      </c>
      <c r="J48">
        <v>16552963.02881659</v>
      </c>
      <c r="K48">
        <f t="shared" ref="K48:Q48" si="48">J94+J95</f>
        <v>121914174.97690845</v>
      </c>
      <c r="L48">
        <f t="shared" si="48"/>
        <v>-51955102.426977664</v>
      </c>
      <c r="M48">
        <f t="shared" si="48"/>
        <v>-203191041.39033681</v>
      </c>
      <c r="N48">
        <f t="shared" si="48"/>
        <v>-11016643.350619555</v>
      </c>
      <c r="O48">
        <f t="shared" si="48"/>
        <v>-10441.116874702275</v>
      </c>
      <c r="P48">
        <f t="shared" si="48"/>
        <v>12697.040405262262</v>
      </c>
      <c r="Q48">
        <f t="shared" si="48"/>
        <v>-2435.6633267998695</v>
      </c>
      <c r="R48">
        <f t="shared" si="35"/>
        <v>-38.057239481247962</v>
      </c>
    </row>
    <row r="49" spans="1:18" x14ac:dyDescent="0.25">
      <c r="A49">
        <v>48</v>
      </c>
      <c r="B49" t="s">
        <v>71</v>
      </c>
      <c r="C49">
        <v>1</v>
      </c>
      <c r="D49">
        <v>1</v>
      </c>
      <c r="E49">
        <v>1</v>
      </c>
      <c r="F49">
        <v>1</v>
      </c>
      <c r="G49">
        <v>-1</v>
      </c>
      <c r="H49">
        <v>1</v>
      </c>
      <c r="I49">
        <v>-1</v>
      </c>
      <c r="J49">
        <v>4639003.9162646988</v>
      </c>
      <c r="K49">
        <f t="shared" ref="K49:Q49" si="49">J96+J97</f>
        <v>21349926.343448114</v>
      </c>
      <c r="L49">
        <f t="shared" si="49"/>
        <v>-57423556.064747401</v>
      </c>
      <c r="M49">
        <f t="shared" si="49"/>
        <v>-203180622.86633444</v>
      </c>
      <c r="N49">
        <f t="shared" si="49"/>
        <v>-11017689.020423792</v>
      </c>
      <c r="O49">
        <f t="shared" si="49"/>
        <v>-295.23761741816998</v>
      </c>
      <c r="P49">
        <f t="shared" si="49"/>
        <v>-103.70959341153502</v>
      </c>
      <c r="Q49">
        <f t="shared" si="49"/>
        <v>3004.2760519236326</v>
      </c>
      <c r="R49">
        <f t="shared" si="35"/>
        <v>46.94181331130676</v>
      </c>
    </row>
    <row r="50" spans="1:18" x14ac:dyDescent="0.25">
      <c r="A50">
        <v>49</v>
      </c>
      <c r="B50" t="s">
        <v>72</v>
      </c>
      <c r="C50">
        <v>-1</v>
      </c>
      <c r="D50">
        <v>-1</v>
      </c>
      <c r="E50">
        <v>-1</v>
      </c>
      <c r="F50">
        <v>-1</v>
      </c>
      <c r="G50">
        <v>1</v>
      </c>
      <c r="H50">
        <v>1</v>
      </c>
      <c r="I50">
        <v>-1</v>
      </c>
      <c r="J50">
        <v>84125582.467494518</v>
      </c>
      <c r="K50">
        <f t="shared" ref="K50:Q50" si="50">J98+J99</f>
        <v>128278023.52539182</v>
      </c>
      <c r="L50">
        <f t="shared" si="50"/>
        <v>-51970394.626877204</v>
      </c>
      <c r="M50">
        <f t="shared" si="50"/>
        <v>61772847.418762594</v>
      </c>
      <c r="N50">
        <f t="shared" si="50"/>
        <v>4116939.6213968992</v>
      </c>
      <c r="O50">
        <f t="shared" si="50"/>
        <v>45854.674256563187</v>
      </c>
      <c r="P50">
        <f t="shared" si="50"/>
        <v>29387.013266384602</v>
      </c>
      <c r="Q50">
        <f t="shared" si="50"/>
        <v>48636.878234386444</v>
      </c>
      <c r="R50">
        <f t="shared" si="35"/>
        <v>759.95122241228819</v>
      </c>
    </row>
    <row r="51" spans="1:18" x14ac:dyDescent="0.25">
      <c r="A51">
        <v>50</v>
      </c>
      <c r="B51" t="s">
        <v>73</v>
      </c>
      <c r="C51">
        <v>1</v>
      </c>
      <c r="D51">
        <v>-1</v>
      </c>
      <c r="E51">
        <v>-1</v>
      </c>
      <c r="F51">
        <v>-1</v>
      </c>
      <c r="G51">
        <v>1</v>
      </c>
      <c r="H51">
        <v>1</v>
      </c>
      <c r="I51">
        <v>-1</v>
      </c>
      <c r="J51">
        <v>44033052.571562871</v>
      </c>
      <c r="K51">
        <f t="shared" ref="K51:Q51" si="51">J100+J101</f>
        <v>25661570.818155881</v>
      </c>
      <c r="L51">
        <f t="shared" si="51"/>
        <v>-57481120.322916374</v>
      </c>
      <c r="M51">
        <f t="shared" si="51"/>
        <v>61793520.140371218</v>
      </c>
      <c r="N51">
        <f t="shared" si="51"/>
        <v>4116700.7241896242</v>
      </c>
      <c r="O51">
        <f t="shared" si="51"/>
        <v>57882.000382751226</v>
      </c>
      <c r="P51">
        <f t="shared" si="51"/>
        <v>3365.6311465501785</v>
      </c>
      <c r="Q51">
        <f t="shared" si="51"/>
        <v>13008.578236699104</v>
      </c>
      <c r="R51">
        <f t="shared" si="35"/>
        <v>203.2590349484235</v>
      </c>
    </row>
    <row r="52" spans="1:18" x14ac:dyDescent="0.25">
      <c r="A52">
        <v>51</v>
      </c>
      <c r="B52" t="s">
        <v>74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18697496.313486591</v>
      </c>
      <c r="K52">
        <f t="shared" ref="K52:Q52" si="52">J102+J103</f>
        <v>121928937.67861888</v>
      </c>
      <c r="L52">
        <f t="shared" si="52"/>
        <v>-51967252.296574101</v>
      </c>
      <c r="M52">
        <f t="shared" si="52"/>
        <v>61771398.920611225</v>
      </c>
      <c r="N52">
        <f t="shared" si="52"/>
        <v>4133479.9697000384</v>
      </c>
      <c r="O52">
        <f t="shared" si="52"/>
        <v>14779.059515476227</v>
      </c>
      <c r="P52">
        <f t="shared" si="52"/>
        <v>14338.790222272277</v>
      </c>
      <c r="Q52">
        <f t="shared" si="52"/>
        <v>-4608.2157446146011</v>
      </c>
      <c r="R52">
        <f t="shared" si="35"/>
        <v>-72.003371009603143</v>
      </c>
    </row>
    <row r="53" spans="1:18" x14ac:dyDescent="0.25">
      <c r="A53">
        <v>52</v>
      </c>
      <c r="B53" t="s">
        <v>75</v>
      </c>
      <c r="C53">
        <v>1</v>
      </c>
      <c r="D53">
        <v>1</v>
      </c>
      <c r="E53">
        <v>-1</v>
      </c>
      <c r="F53">
        <v>-1</v>
      </c>
      <c r="G53">
        <v>1</v>
      </c>
      <c r="H53">
        <v>1</v>
      </c>
      <c r="I53">
        <v>-1</v>
      </c>
      <c r="J53">
        <v>6826901.3139114771</v>
      </c>
      <c r="K53">
        <f t="shared" ref="K53:Q53" si="53">J104+J105</f>
        <v>21353910.025586091</v>
      </c>
      <c r="L53">
        <f t="shared" si="53"/>
        <v>-57473389.490650021</v>
      </c>
      <c r="M53">
        <f t="shared" si="53"/>
        <v>61784597.171844147</v>
      </c>
      <c r="N53">
        <f t="shared" si="53"/>
        <v>4139725.7058809251</v>
      </c>
      <c r="O53">
        <f t="shared" si="53"/>
        <v>15989.717922061682</v>
      </c>
      <c r="P53">
        <f t="shared" si="53"/>
        <v>-4138.3656275272369</v>
      </c>
      <c r="Q53">
        <f t="shared" si="53"/>
        <v>-33017.294320419431</v>
      </c>
      <c r="R53">
        <f t="shared" si="35"/>
        <v>-515.89522375655361</v>
      </c>
    </row>
    <row r="54" spans="1:18" x14ac:dyDescent="0.25">
      <c r="A54">
        <v>53</v>
      </c>
      <c r="B54" t="s">
        <v>76</v>
      </c>
      <c r="C54">
        <v>-1</v>
      </c>
      <c r="D54">
        <v>-1</v>
      </c>
      <c r="E54">
        <v>1</v>
      </c>
      <c r="F54">
        <v>-1</v>
      </c>
      <c r="G54">
        <v>1</v>
      </c>
      <c r="H54">
        <v>1</v>
      </c>
      <c r="I54">
        <v>-1</v>
      </c>
      <c r="J54">
        <v>83659755.253905505</v>
      </c>
      <c r="K54">
        <f t="shared" ref="K54:Q54" si="54">J106+J107</f>
        <v>128256652.25690372</v>
      </c>
      <c r="L54">
        <f t="shared" si="54"/>
        <v>-51967550.887982458</v>
      </c>
      <c r="M54">
        <f t="shared" si="54"/>
        <v>61785477.715705827</v>
      </c>
      <c r="N54">
        <f t="shared" si="54"/>
        <v>4073958.5122962445</v>
      </c>
      <c r="O54">
        <f t="shared" si="54"/>
        <v>36816.065849483013</v>
      </c>
      <c r="P54">
        <f t="shared" si="54"/>
        <v>-22079.163412749767</v>
      </c>
      <c r="Q54">
        <f t="shared" si="54"/>
        <v>-19971.912530481815</v>
      </c>
      <c r="R54">
        <f t="shared" si="35"/>
        <v>-312.06113328877836</v>
      </c>
    </row>
    <row r="55" spans="1:18" x14ac:dyDescent="0.25">
      <c r="A55">
        <v>54</v>
      </c>
      <c r="B55" t="s">
        <v>77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38154783.534189627</v>
      </c>
      <c r="K55">
        <f t="shared" ref="K55:Q55" si="55">J108+J109</f>
        <v>25645480.419982798</v>
      </c>
      <c r="L55">
        <f t="shared" si="55"/>
        <v>-57479538.060162485</v>
      </c>
      <c r="M55">
        <f t="shared" si="55"/>
        <v>61854987.813594103</v>
      </c>
      <c r="N55">
        <f t="shared" si="55"/>
        <v>4080183.0030244738</v>
      </c>
      <c r="O55">
        <f t="shared" si="55"/>
        <v>45612.224183827639</v>
      </c>
      <c r="P55">
        <f t="shared" si="55"/>
        <v>-1900.3753671646118</v>
      </c>
      <c r="Q55">
        <f t="shared" si="55"/>
        <v>-2799.0570589825511</v>
      </c>
      <c r="R55">
        <f t="shared" si="35"/>
        <v>-43.735266546602361</v>
      </c>
    </row>
    <row r="56" spans="1:18" x14ac:dyDescent="0.25">
      <c r="A56">
        <v>55</v>
      </c>
      <c r="B56" t="s">
        <v>78</v>
      </c>
      <c r="C56">
        <v>-1</v>
      </c>
      <c r="D56">
        <v>1</v>
      </c>
      <c r="E56">
        <v>1</v>
      </c>
      <c r="F56">
        <v>-1</v>
      </c>
      <c r="G56">
        <v>1</v>
      </c>
      <c r="H56">
        <v>1</v>
      </c>
      <c r="I56">
        <v>-1</v>
      </c>
      <c r="J56">
        <v>16592957.24099583</v>
      </c>
      <c r="K56">
        <f t="shared" ref="K56:Q56" si="56">J110+J111</f>
        <v>121910690.26869325</v>
      </c>
      <c r="L56">
        <f t="shared" si="56"/>
        <v>-51965884.606842257</v>
      </c>
      <c r="M56">
        <f t="shared" si="56"/>
        <v>61778716.671995401</v>
      </c>
      <c r="N56">
        <f t="shared" si="56"/>
        <v>4085503.9686411023</v>
      </c>
      <c r="O56">
        <f t="shared" si="56"/>
        <v>8967.7273390740156</v>
      </c>
      <c r="P56">
        <f t="shared" si="56"/>
        <v>-34022.547434493899</v>
      </c>
      <c r="Q56">
        <f t="shared" si="56"/>
        <v>-8164.417065680027</v>
      </c>
      <c r="R56">
        <f t="shared" si="35"/>
        <v>-127.56901665125042</v>
      </c>
    </row>
    <row r="57" spans="1:18" x14ac:dyDescent="0.25">
      <c r="A57">
        <v>56</v>
      </c>
      <c r="B57" t="s">
        <v>79</v>
      </c>
      <c r="C57">
        <v>1</v>
      </c>
      <c r="D57">
        <v>1</v>
      </c>
      <c r="E57">
        <v>1</v>
      </c>
      <c r="F57">
        <v>-1</v>
      </c>
      <c r="G57">
        <v>1</v>
      </c>
      <c r="H57">
        <v>1</v>
      </c>
      <c r="I57">
        <v>-1</v>
      </c>
      <c r="J57">
        <v>4644767.2969188206</v>
      </c>
      <c r="K57">
        <f t="shared" ref="K57:Q57" si="57">J112+J113</f>
        <v>21343597.346210282</v>
      </c>
      <c r="L57">
        <f t="shared" si="57"/>
        <v>-57473492.55364646</v>
      </c>
      <c r="M57">
        <f t="shared" si="57"/>
        <v>61821678.692824885</v>
      </c>
      <c r="N57">
        <f t="shared" si="57"/>
        <v>4077079.4089154899</v>
      </c>
      <c r="O57">
        <f t="shared" si="57"/>
        <v>13084.705019451678</v>
      </c>
      <c r="P57">
        <f t="shared" si="57"/>
        <v>-7595.0025942847133</v>
      </c>
      <c r="Q57">
        <f t="shared" si="57"/>
        <v>4828.7704811021686</v>
      </c>
      <c r="R57">
        <f t="shared" si="35"/>
        <v>75.449538767221384</v>
      </c>
    </row>
    <row r="58" spans="1:18" x14ac:dyDescent="0.25">
      <c r="A58">
        <v>57</v>
      </c>
      <c r="B58" t="s">
        <v>80</v>
      </c>
      <c r="C58">
        <v>-1</v>
      </c>
      <c r="D58">
        <v>-1</v>
      </c>
      <c r="E58">
        <v>-1</v>
      </c>
      <c r="F58">
        <v>1</v>
      </c>
      <c r="G58">
        <v>1</v>
      </c>
      <c r="H58">
        <v>1</v>
      </c>
      <c r="I58">
        <v>-1</v>
      </c>
      <c r="J58">
        <v>84107445.49838227</v>
      </c>
      <c r="K58">
        <f t="shared" ref="K58:Q58" si="58">J114+J115</f>
        <v>128280528.07111555</v>
      </c>
      <c r="L58">
        <f t="shared" si="58"/>
        <v>-51971942.799826935</v>
      </c>
      <c r="M58">
        <f t="shared" si="58"/>
        <v>61766733.293401077</v>
      </c>
      <c r="N58">
        <f t="shared" si="58"/>
        <v>10673245.692460906</v>
      </c>
      <c r="O58">
        <f t="shared" si="58"/>
        <v>43062.945756867528</v>
      </c>
      <c r="P58">
        <f t="shared" si="58"/>
        <v>-10878.704932004213</v>
      </c>
      <c r="Q58">
        <f t="shared" si="58"/>
        <v>9446.6825014948845</v>
      </c>
      <c r="R58">
        <f t="shared" si="35"/>
        <v>147.60441408585757</v>
      </c>
    </row>
    <row r="59" spans="1:18" x14ac:dyDescent="0.25">
      <c r="A59">
        <v>58</v>
      </c>
      <c r="B59" t="s">
        <v>81</v>
      </c>
      <c r="C59">
        <v>1</v>
      </c>
      <c r="D59">
        <v>-1</v>
      </c>
      <c r="E59">
        <v>-1</v>
      </c>
      <c r="F59">
        <v>1</v>
      </c>
      <c r="G59">
        <v>1</v>
      </c>
      <c r="H59">
        <v>1</v>
      </c>
      <c r="I59">
        <v>-1</v>
      </c>
      <c r="J59">
        <v>44013436.075619653</v>
      </c>
      <c r="K59">
        <f t="shared" ref="K59:Q59" si="59">J116+J117</f>
        <v>25665978.492662232</v>
      </c>
      <c r="L59">
        <f t="shared" si="59"/>
        <v>-57482631.287891939</v>
      </c>
      <c r="M59">
        <f t="shared" si="59"/>
        <v>61763693.810026333</v>
      </c>
      <c r="N59">
        <f t="shared" si="59"/>
        <v>10674727.170688212</v>
      </c>
      <c r="O59">
        <f t="shared" si="59"/>
        <v>39027.463296487927</v>
      </c>
      <c r="P59">
        <f t="shared" si="59"/>
        <v>-7463.4114079773426</v>
      </c>
      <c r="Q59">
        <f t="shared" si="59"/>
        <v>6813.1446249336004</v>
      </c>
      <c r="R59">
        <f t="shared" si="35"/>
        <v>106.45538476458751</v>
      </c>
    </row>
    <row r="60" spans="1:18" x14ac:dyDescent="0.25">
      <c r="A60">
        <v>59</v>
      </c>
      <c r="B60" t="s">
        <v>82</v>
      </c>
      <c r="C60">
        <v>-1</v>
      </c>
      <c r="D60">
        <v>1</v>
      </c>
      <c r="E60">
        <v>-1</v>
      </c>
      <c r="F60">
        <v>1</v>
      </c>
      <c r="G60">
        <v>1</v>
      </c>
      <c r="H60">
        <v>1</v>
      </c>
      <c r="I60">
        <v>-1</v>
      </c>
      <c r="J60">
        <v>18659922.27905836</v>
      </c>
      <c r="K60">
        <f t="shared" ref="K60:Q60" si="60">J118+J119</f>
        <v>121931156.20597398</v>
      </c>
      <c r="L60">
        <f t="shared" si="60"/>
        <v>-51968126.394782171</v>
      </c>
      <c r="M60">
        <f t="shared" si="60"/>
        <v>61765357.935032099</v>
      </c>
      <c r="N60">
        <f t="shared" si="60"/>
        <v>10679477.172834117</v>
      </c>
      <c r="O60">
        <f t="shared" si="60"/>
        <v>2017.9168770909309</v>
      </c>
      <c r="P60">
        <f t="shared" si="60"/>
        <v>-8228.7825371772051</v>
      </c>
      <c r="Q60">
        <f t="shared" si="60"/>
        <v>-17195.757480502129</v>
      </c>
      <c r="R60">
        <f t="shared" si="35"/>
        <v>-268.68371063284576</v>
      </c>
    </row>
    <row r="61" spans="1:18" x14ac:dyDescent="0.25">
      <c r="A61">
        <v>60</v>
      </c>
      <c r="B61" t="s">
        <v>83</v>
      </c>
      <c r="C61">
        <v>1</v>
      </c>
      <c r="D61">
        <v>1</v>
      </c>
      <c r="E61">
        <v>-1</v>
      </c>
      <c r="F61">
        <v>1</v>
      </c>
      <c r="G61">
        <v>1</v>
      </c>
      <c r="H61">
        <v>1</v>
      </c>
      <c r="I61">
        <v>-1</v>
      </c>
      <c r="J61">
        <v>6798829.2748433156</v>
      </c>
      <c r="K61">
        <f t="shared" ref="K61:Q61" si="61">J120+J121</f>
        <v>21354664.394090477</v>
      </c>
      <c r="L61">
        <f t="shared" si="61"/>
        <v>-57474081.257336721</v>
      </c>
      <c r="M61">
        <f t="shared" si="61"/>
        <v>61757956.301532142</v>
      </c>
      <c r="N61">
        <f t="shared" si="61"/>
        <v>10690692.735012073</v>
      </c>
      <c r="O61">
        <f t="shared" si="61"/>
        <v>3617.7360106706619</v>
      </c>
      <c r="P61">
        <f t="shared" si="61"/>
        <v>3408.1774111166596</v>
      </c>
      <c r="Q61">
        <f t="shared" si="61"/>
        <v>-17944.309026949108</v>
      </c>
      <c r="R61">
        <f t="shared" si="35"/>
        <v>-280.37982854607981</v>
      </c>
    </row>
    <row r="62" spans="1:18" x14ac:dyDescent="0.25">
      <c r="A62">
        <v>61</v>
      </c>
      <c r="B62" t="s">
        <v>84</v>
      </c>
      <c r="C62">
        <v>-1</v>
      </c>
      <c r="D62">
        <v>-1</v>
      </c>
      <c r="E62">
        <v>1</v>
      </c>
      <c r="F62">
        <v>1</v>
      </c>
      <c r="G62">
        <v>1</v>
      </c>
      <c r="H62">
        <v>1</v>
      </c>
      <c r="I62">
        <v>-1</v>
      </c>
      <c r="J62">
        <v>83641978.278080627</v>
      </c>
      <c r="K62">
        <f t="shared" ref="K62:Q62" si="62">J122+J123</f>
        <v>128260098.47510475</v>
      </c>
      <c r="L62">
        <f t="shared" si="62"/>
        <v>-51968364.618462399</v>
      </c>
      <c r="M62">
        <f t="shared" si="62"/>
        <v>61768418.462331176</v>
      </c>
      <c r="N62">
        <f t="shared" si="62"/>
        <v>10643648.775733549</v>
      </c>
      <c r="O62">
        <f t="shared" si="62"/>
        <v>34910.973000552505</v>
      </c>
      <c r="P62">
        <f t="shared" si="62"/>
        <v>8687.7360877692699</v>
      </c>
      <c r="Q62">
        <f t="shared" si="62"/>
        <v>6565.2825463414192</v>
      </c>
      <c r="R62">
        <f t="shared" si="35"/>
        <v>102.58253978658468</v>
      </c>
    </row>
    <row r="63" spans="1:18" x14ac:dyDescent="0.25">
      <c r="A63">
        <v>62</v>
      </c>
      <c r="B63" t="s">
        <v>85</v>
      </c>
      <c r="C63">
        <v>1</v>
      </c>
      <c r="D63">
        <v>-1</v>
      </c>
      <c r="E63">
        <v>1</v>
      </c>
      <c r="F63">
        <v>1</v>
      </c>
      <c r="G63">
        <v>1</v>
      </c>
      <c r="H63">
        <v>1</v>
      </c>
      <c r="I63">
        <v>-1</v>
      </c>
      <c r="J63">
        <v>38135819.108568273</v>
      </c>
      <c r="K63">
        <f t="shared" ref="K63:Q63" si="63">J124+J125</f>
        <v>25650276.220764693</v>
      </c>
      <c r="L63">
        <f t="shared" si="63"/>
        <v>-57481384.668428794</v>
      </c>
      <c r="M63">
        <f t="shared" si="63"/>
        <v>61769887.269757003</v>
      </c>
      <c r="N63">
        <f t="shared" si="63"/>
        <v>10646049.577671617</v>
      </c>
      <c r="O63">
        <f t="shared" si="63"/>
        <v>30930.850200481713</v>
      </c>
      <c r="P63">
        <f t="shared" si="63"/>
        <v>-4498.3022463023663</v>
      </c>
      <c r="Q63">
        <f t="shared" si="63"/>
        <v>7163.5868210420012</v>
      </c>
      <c r="R63">
        <f t="shared" si="35"/>
        <v>111.93104407878127</v>
      </c>
    </row>
    <row r="64" spans="1:18" x14ac:dyDescent="0.25">
      <c r="A64">
        <v>63</v>
      </c>
      <c r="B64" t="s">
        <v>86</v>
      </c>
      <c r="C64">
        <v>-1</v>
      </c>
      <c r="D64">
        <v>1</v>
      </c>
      <c r="E64">
        <v>1</v>
      </c>
      <c r="F64">
        <v>1</v>
      </c>
      <c r="G64">
        <v>1</v>
      </c>
      <c r="H64">
        <v>1</v>
      </c>
      <c r="I64">
        <v>-1</v>
      </c>
      <c r="J64">
        <v>16557683.40309288</v>
      </c>
      <c r="K64">
        <f t="shared" ref="K64:Q64" si="64">J126+J127</f>
        <v>121913788.74235642</v>
      </c>
      <c r="L64">
        <f t="shared" si="64"/>
        <v>-51966845.435774043</v>
      </c>
      <c r="M64">
        <f t="shared" si="64"/>
        <v>61764819.156874523</v>
      </c>
      <c r="N64">
        <f t="shared" si="64"/>
        <v>10646365.89587903</v>
      </c>
      <c r="O64">
        <f t="shared" si="64"/>
        <v>-2930.261732365936</v>
      </c>
      <c r="P64">
        <f t="shared" si="64"/>
        <v>9262.7336153127253</v>
      </c>
      <c r="Q64">
        <f t="shared" si="64"/>
        <v>13893.202340632677</v>
      </c>
      <c r="R64">
        <f t="shared" si="35"/>
        <v>217.08128657238558</v>
      </c>
    </row>
    <row r="65" spans="1:18" x14ac:dyDescent="0.25">
      <c r="A65">
        <v>64</v>
      </c>
      <c r="B65" t="s">
        <v>87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4640286.5078578349</v>
      </c>
      <c r="K65">
        <f t="shared" ref="K65:Q65" si="65">J128+J129</f>
        <v>21342988.130362049</v>
      </c>
      <c r="L65">
        <f t="shared" si="65"/>
        <v>-57471514.406231441</v>
      </c>
      <c r="M65">
        <f t="shared" si="65"/>
        <v>61763055.111831278</v>
      </c>
      <c r="N65">
        <f t="shared" si="65"/>
        <v>10643861.384347551</v>
      </c>
      <c r="O65">
        <f t="shared" si="65"/>
        <v>4054.137119628489</v>
      </c>
      <c r="P65">
        <f t="shared" si="65"/>
        <v>4054.9205298013985</v>
      </c>
      <c r="Q65">
        <f t="shared" si="65"/>
        <v>13742.233726851642</v>
      </c>
      <c r="R65">
        <f t="shared" si="35"/>
        <v>214.72240198205691</v>
      </c>
    </row>
    <row r="66" spans="1:18" x14ac:dyDescent="0.25">
      <c r="A66">
        <v>65</v>
      </c>
      <c r="B66" t="s">
        <v>88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1</v>
      </c>
      <c r="J66">
        <v>84187918.15702495</v>
      </c>
      <c r="K66">
        <f t="shared" ref="K66:Q66" si="66">J3-J2</f>
        <v>-40095262.444602177</v>
      </c>
      <c r="L66">
        <f t="shared" si="66"/>
        <v>-102610994.10475697</v>
      </c>
      <c r="M66">
        <f t="shared" si="66"/>
        <v>-10638071.236632228</v>
      </c>
      <c r="N66">
        <f t="shared" si="66"/>
        <v>-162652.73353648186</v>
      </c>
      <c r="O66">
        <f t="shared" si="66"/>
        <v>32632.696418881416</v>
      </c>
      <c r="P66">
        <f t="shared" si="66"/>
        <v>-268462.10919117928</v>
      </c>
      <c r="Q66">
        <f t="shared" si="66"/>
        <v>4304480.9578742981</v>
      </c>
      <c r="R66">
        <f t="shared" si="35"/>
        <v>67257.514966785908</v>
      </c>
    </row>
    <row r="67" spans="1:18" x14ac:dyDescent="0.25">
      <c r="A67">
        <v>66</v>
      </c>
      <c r="B67" t="s">
        <v>89</v>
      </c>
      <c r="C67">
        <v>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1</v>
      </c>
      <c r="J67">
        <v>44091776.263516553</v>
      </c>
      <c r="K67">
        <f t="shared" ref="K67:Q67" si="67">J5-J4</f>
        <v>-11872560.740576163</v>
      </c>
      <c r="L67">
        <f t="shared" si="67"/>
        <v>-100563800.92211328</v>
      </c>
      <c r="M67">
        <f t="shared" si="67"/>
        <v>-10611742.037087649</v>
      </c>
      <c r="N67">
        <f t="shared" si="67"/>
        <v>-153519.22301900387</v>
      </c>
      <c r="O67">
        <f t="shared" si="67"/>
        <v>66665.350060224533</v>
      </c>
      <c r="P67">
        <f t="shared" si="67"/>
        <v>-45715.89487361908</v>
      </c>
      <c r="Q67">
        <f t="shared" si="67"/>
        <v>-281507.69034719467</v>
      </c>
      <c r="R67">
        <f t="shared" ref="R67:R98" si="68">Q67/64</f>
        <v>-4398.5576616749167</v>
      </c>
    </row>
    <row r="68" spans="1:18" x14ac:dyDescent="0.25">
      <c r="A68">
        <v>67</v>
      </c>
      <c r="B68" t="s">
        <v>90</v>
      </c>
      <c r="C68">
        <v>-1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1</v>
      </c>
      <c r="J68">
        <v>18770399.73635279</v>
      </c>
      <c r="K68">
        <f t="shared" ref="K68:Q68" si="69">J7-J6</f>
        <v>-45506019.207946047</v>
      </c>
      <c r="L68">
        <f t="shared" si="69"/>
        <v>-102633497.30369574</v>
      </c>
      <c r="M68">
        <f t="shared" si="69"/>
        <v>-10642817.540543407</v>
      </c>
      <c r="N68">
        <f t="shared" si="69"/>
        <v>-200149.06971091032</v>
      </c>
      <c r="O68">
        <f t="shared" si="69"/>
        <v>6012.1682943105698</v>
      </c>
      <c r="P68">
        <f t="shared" si="69"/>
        <v>48225.610315918922</v>
      </c>
      <c r="Q68">
        <f t="shared" si="69"/>
        <v>179779.0691921711</v>
      </c>
      <c r="R68">
        <f t="shared" si="68"/>
        <v>2809.0479561276734</v>
      </c>
    </row>
    <row r="69" spans="1:18" x14ac:dyDescent="0.25">
      <c r="A69">
        <v>68</v>
      </c>
      <c r="B69" t="s">
        <v>91</v>
      </c>
      <c r="C69">
        <v>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1</v>
      </c>
      <c r="J69">
        <v>6896147.0029839836</v>
      </c>
      <c r="K69">
        <f t="shared" ref="K69:Q69" si="70">J9-J8</f>
        <v>-11955873.493209466</v>
      </c>
      <c r="L69">
        <f t="shared" si="70"/>
        <v>-100563750.86494252</v>
      </c>
      <c r="M69">
        <f t="shared" si="70"/>
        <v>-10623292.065831423</v>
      </c>
      <c r="N69">
        <f t="shared" si="70"/>
        <v>-179895.56696200371</v>
      </c>
      <c r="O69">
        <f t="shared" si="70"/>
        <v>20616.392887353897</v>
      </c>
      <c r="P69">
        <f t="shared" si="70"/>
        <v>-6268.0230830907822</v>
      </c>
      <c r="Q69">
        <f t="shared" si="70"/>
        <v>-243303.20492374897</v>
      </c>
      <c r="R69">
        <f t="shared" si="68"/>
        <v>-3801.6125769335777</v>
      </c>
    </row>
    <row r="70" spans="1:18" x14ac:dyDescent="0.25">
      <c r="A70">
        <v>69</v>
      </c>
      <c r="B70" t="s">
        <v>92</v>
      </c>
      <c r="C70">
        <v>-1</v>
      </c>
      <c r="D70">
        <v>-1</v>
      </c>
      <c r="E70">
        <v>1</v>
      </c>
      <c r="F70">
        <v>-1</v>
      </c>
      <c r="G70">
        <v>-1</v>
      </c>
      <c r="H70">
        <v>-1</v>
      </c>
      <c r="I70">
        <v>1</v>
      </c>
      <c r="J70">
        <v>83721645.383554474</v>
      </c>
      <c r="K70">
        <f t="shared" ref="K70:Q70" si="71">J11-J10</f>
        <v>-40096569.290520608</v>
      </c>
      <c r="L70">
        <f t="shared" si="71"/>
        <v>-102609686.37021258</v>
      </c>
      <c r="M70">
        <f t="shared" si="71"/>
        <v>-10619525.962741405</v>
      </c>
      <c r="N70">
        <f t="shared" si="71"/>
        <v>-49944.109115004539</v>
      </c>
      <c r="O70">
        <f t="shared" si="71"/>
        <v>16973.509132295847</v>
      </c>
      <c r="P70">
        <f t="shared" si="71"/>
        <v>-157234.06183767319</v>
      </c>
      <c r="Q70">
        <f t="shared" si="71"/>
        <v>-291796.80608272552</v>
      </c>
      <c r="R70">
        <f t="shared" si="68"/>
        <v>-4559.3250950425863</v>
      </c>
    </row>
    <row r="71" spans="1:18" x14ac:dyDescent="0.25">
      <c r="A71">
        <v>70</v>
      </c>
      <c r="B71" t="s">
        <v>93</v>
      </c>
      <c r="C71">
        <v>1</v>
      </c>
      <c r="D71">
        <v>-1</v>
      </c>
      <c r="E71">
        <v>1</v>
      </c>
      <c r="F71">
        <v>-1</v>
      </c>
      <c r="G71">
        <v>-1</v>
      </c>
      <c r="H71">
        <v>-1</v>
      </c>
      <c r="I71">
        <v>1</v>
      </c>
      <c r="J71">
        <v>38208663.155465543</v>
      </c>
      <c r="K71">
        <f t="shared" ref="K71:Q71" si="72">J13-J12</f>
        <v>-11872710.061210167</v>
      </c>
      <c r="L71">
        <f t="shared" si="72"/>
        <v>-100561590.85294144</v>
      </c>
      <c r="M71">
        <f t="shared" si="72"/>
        <v>-10588547.472500324</v>
      </c>
      <c r="N71">
        <f t="shared" si="72"/>
        <v>-47424.638676762581</v>
      </c>
      <c r="O71">
        <f t="shared" si="72"/>
        <v>27000.104811936617</v>
      </c>
      <c r="P71">
        <f t="shared" si="72"/>
        <v>-22685.008583068848</v>
      </c>
      <c r="Q71">
        <f t="shared" si="72"/>
        <v>-224616.00548174232</v>
      </c>
      <c r="R71">
        <f t="shared" si="68"/>
        <v>-3509.6250856522238</v>
      </c>
    </row>
    <row r="72" spans="1:18" x14ac:dyDescent="0.25">
      <c r="A72">
        <v>71</v>
      </c>
      <c r="B72" t="s">
        <v>94</v>
      </c>
      <c r="C72">
        <v>-1</v>
      </c>
      <c r="D72">
        <v>1</v>
      </c>
      <c r="E72">
        <v>1</v>
      </c>
      <c r="F72">
        <v>-1</v>
      </c>
      <c r="G72">
        <v>-1</v>
      </c>
      <c r="H72">
        <v>-1</v>
      </c>
      <c r="I72">
        <v>1</v>
      </c>
      <c r="J72">
        <v>16660535.82506237</v>
      </c>
      <c r="K72">
        <f t="shared" ref="K72:Q72" si="73">J15-J14</f>
        <v>-45505855.168075465</v>
      </c>
      <c r="L72">
        <f t="shared" si="73"/>
        <v>-102633312.08199275</v>
      </c>
      <c r="M72">
        <f t="shared" si="73"/>
        <v>-10630769.340445668</v>
      </c>
      <c r="N72">
        <f t="shared" si="73"/>
        <v>-66021.755962610245</v>
      </c>
      <c r="O72">
        <f t="shared" si="73"/>
        <v>5690.6283840239048</v>
      </c>
      <c r="P72">
        <f t="shared" si="73"/>
        <v>118497.24253103137</v>
      </c>
      <c r="Q72">
        <f t="shared" si="73"/>
        <v>-190121.12829017639</v>
      </c>
      <c r="R72">
        <f t="shared" si="68"/>
        <v>-2970.6426295340061</v>
      </c>
    </row>
    <row r="73" spans="1:18" x14ac:dyDescent="0.25">
      <c r="A73">
        <v>72</v>
      </c>
      <c r="B73" t="s">
        <v>95</v>
      </c>
      <c r="C73">
        <v>1</v>
      </c>
      <c r="D73">
        <v>1</v>
      </c>
      <c r="E73">
        <v>1</v>
      </c>
      <c r="F73">
        <v>-1</v>
      </c>
      <c r="G73">
        <v>-1</v>
      </c>
      <c r="H73">
        <v>-1</v>
      </c>
      <c r="I73">
        <v>1</v>
      </c>
      <c r="J73">
        <v>4692397.7302349266</v>
      </c>
      <c r="K73">
        <f t="shared" ref="K73:Q73" si="74">J17-J16</f>
        <v>-11936194.257014684</v>
      </c>
      <c r="L73">
        <f t="shared" si="74"/>
        <v>-100564706.87507427</v>
      </c>
      <c r="M73">
        <f t="shared" si="74"/>
        <v>-10603865.830303997</v>
      </c>
      <c r="N73">
        <f t="shared" si="74"/>
        <v>-65175.595254302025</v>
      </c>
      <c r="O73">
        <f t="shared" si="74"/>
        <v>8672.6109410822392</v>
      </c>
      <c r="P73">
        <f t="shared" si="74"/>
        <v>12438.660802334547</v>
      </c>
      <c r="Q73">
        <f t="shared" si="74"/>
        <v>-138217.13736355305</v>
      </c>
      <c r="R73">
        <f t="shared" si="68"/>
        <v>-2159.6427713055164</v>
      </c>
    </row>
    <row r="74" spans="1:18" x14ac:dyDescent="0.25">
      <c r="A74">
        <v>73</v>
      </c>
      <c r="B74" t="s">
        <v>96</v>
      </c>
      <c r="C74">
        <v>-1</v>
      </c>
      <c r="D74">
        <v>-1</v>
      </c>
      <c r="E74">
        <v>-1</v>
      </c>
      <c r="F74">
        <v>1</v>
      </c>
      <c r="G74">
        <v>-1</v>
      </c>
      <c r="H74">
        <v>-1</v>
      </c>
      <c r="I74">
        <v>1</v>
      </c>
      <c r="J74">
        <v>84176637.777597904</v>
      </c>
      <c r="K74">
        <f t="shared" ref="K74:Q74" si="75">J19-J18</f>
        <v>-40092107.75658752</v>
      </c>
      <c r="L74">
        <f t="shared" si="75"/>
        <v>-102637945.22664124</v>
      </c>
      <c r="M74">
        <f t="shared" si="75"/>
        <v>-10662999.065560937</v>
      </c>
      <c r="N74">
        <f t="shared" si="75"/>
        <v>18387.109512925148</v>
      </c>
      <c r="O74">
        <f t="shared" si="75"/>
        <v>2747.0152874588966</v>
      </c>
      <c r="P74">
        <f t="shared" si="75"/>
        <v>73214.274103313684</v>
      </c>
      <c r="Q74">
        <f t="shared" si="75"/>
        <v>467650.49421972036</v>
      </c>
      <c r="R74">
        <f t="shared" si="68"/>
        <v>7307.0389721831307</v>
      </c>
    </row>
    <row r="75" spans="1:18" x14ac:dyDescent="0.25">
      <c r="A75">
        <v>74</v>
      </c>
      <c r="B75" t="s">
        <v>97</v>
      </c>
      <c r="C75">
        <v>1</v>
      </c>
      <c r="D75">
        <v>-1</v>
      </c>
      <c r="E75">
        <v>-1</v>
      </c>
      <c r="F75">
        <v>1</v>
      </c>
      <c r="G75">
        <v>-1</v>
      </c>
      <c r="H75">
        <v>-1</v>
      </c>
      <c r="I75">
        <v>1</v>
      </c>
      <c r="J75">
        <v>44082261.627457187</v>
      </c>
      <c r="K75">
        <f t="shared" ref="K75:Q75" si="76">J21-J20</f>
        <v>-11870951.763463765</v>
      </c>
      <c r="L75">
        <f t="shared" si="76"/>
        <v>-100578279.28197785</v>
      </c>
      <c r="M75">
        <f t="shared" si="76"/>
        <v>-10652784.548497915</v>
      </c>
      <c r="N75">
        <f t="shared" si="76"/>
        <v>23242.124411076307</v>
      </c>
      <c r="O75">
        <f t="shared" si="76"/>
        <v>-7444.877709209919</v>
      </c>
      <c r="P75">
        <f t="shared" si="76"/>
        <v>12677.315788775682</v>
      </c>
      <c r="Q75">
        <f t="shared" si="76"/>
        <v>-65060.763037696481</v>
      </c>
      <c r="R75">
        <f t="shared" si="68"/>
        <v>-1016.5744224640075</v>
      </c>
    </row>
    <row r="76" spans="1:18" x14ac:dyDescent="0.25">
      <c r="A76">
        <v>75</v>
      </c>
      <c r="B76" t="s">
        <v>98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1</v>
      </c>
      <c r="J76">
        <v>18765069.29408377</v>
      </c>
      <c r="K76">
        <f t="shared" ref="K76:Q76" si="77">J23-J22</f>
        <v>-45505420.023326486</v>
      </c>
      <c r="L76">
        <f t="shared" si="77"/>
        <v>-102651576.89817327</v>
      </c>
      <c r="M76">
        <f t="shared" si="77"/>
        <v>-10660166.866186202</v>
      </c>
      <c r="N76">
        <f t="shared" si="77"/>
        <v>28144.292250469327</v>
      </c>
      <c r="O76">
        <f t="shared" si="77"/>
        <v>-7502.8142507076263</v>
      </c>
      <c r="P76">
        <f t="shared" si="77"/>
        <v>46621.954005673528</v>
      </c>
      <c r="Q76">
        <f t="shared" si="77"/>
        <v>168615.90489256382</v>
      </c>
      <c r="R76">
        <f t="shared" si="68"/>
        <v>2634.6235139463097</v>
      </c>
    </row>
    <row r="77" spans="1:18" x14ac:dyDescent="0.25">
      <c r="A77">
        <v>76</v>
      </c>
      <c r="B77" t="s">
        <v>99</v>
      </c>
      <c r="C77">
        <v>1</v>
      </c>
      <c r="D77">
        <v>1</v>
      </c>
      <c r="E77">
        <v>-1</v>
      </c>
      <c r="F77">
        <v>1</v>
      </c>
      <c r="G77">
        <v>-1</v>
      </c>
      <c r="H77">
        <v>-1</v>
      </c>
      <c r="I77">
        <v>1</v>
      </c>
      <c r="J77">
        <v>6892193.1476503909</v>
      </c>
      <c r="K77">
        <f t="shared" ref="K77:Q77" si="78">J25-J24</f>
        <v>-11955177.095839016</v>
      </c>
      <c r="L77">
        <f t="shared" si="78"/>
        <v>-100577762.87313662</v>
      </c>
      <c r="M77">
        <f t="shared" si="78"/>
        <v>-10655602.323733747</v>
      </c>
      <c r="N77">
        <f t="shared" si="78"/>
        <v>37628.067574590445</v>
      </c>
      <c r="O77">
        <f t="shared" si="78"/>
        <v>-1919.1369986534119</v>
      </c>
      <c r="P77">
        <f t="shared" si="78"/>
        <v>2125.638055972755</v>
      </c>
      <c r="Q77">
        <f t="shared" si="78"/>
        <v>-157079.44605142623</v>
      </c>
      <c r="R77">
        <f t="shared" si="68"/>
        <v>-2454.3663445535349</v>
      </c>
    </row>
    <row r="78" spans="1:18" x14ac:dyDescent="0.25">
      <c r="A78">
        <v>77</v>
      </c>
      <c r="B78" t="s">
        <v>100</v>
      </c>
      <c r="C78">
        <v>-1</v>
      </c>
      <c r="D78">
        <v>-1</v>
      </c>
      <c r="E78">
        <v>1</v>
      </c>
      <c r="F78">
        <v>1</v>
      </c>
      <c r="G78">
        <v>-1</v>
      </c>
      <c r="H78">
        <v>-1</v>
      </c>
      <c r="I78">
        <v>1</v>
      </c>
      <c r="J78">
        <v>83710602.935941756</v>
      </c>
      <c r="K78">
        <f t="shared" ref="K78:Q78" si="79">J27-J26</f>
        <v>-40089337.618610702</v>
      </c>
      <c r="L78">
        <f t="shared" si="79"/>
        <v>-102634237.41165933</v>
      </c>
      <c r="M78">
        <f t="shared" si="79"/>
        <v>-10656746.639342725</v>
      </c>
      <c r="N78">
        <f t="shared" si="79"/>
        <v>10873.162569463253</v>
      </c>
      <c r="O78">
        <f t="shared" si="79"/>
        <v>-10371.466678440571</v>
      </c>
      <c r="P78">
        <f t="shared" si="79"/>
        <v>39565.329994440079</v>
      </c>
      <c r="Q78">
        <f t="shared" si="79"/>
        <v>-72967.897201776505</v>
      </c>
      <c r="R78">
        <f t="shared" si="68"/>
        <v>-1140.1233937777579</v>
      </c>
    </row>
    <row r="79" spans="1:18" x14ac:dyDescent="0.25">
      <c r="A79">
        <v>78</v>
      </c>
      <c r="B79" t="s">
        <v>101</v>
      </c>
      <c r="C79">
        <v>1</v>
      </c>
      <c r="D79">
        <v>-1</v>
      </c>
      <c r="E79">
        <v>1</v>
      </c>
      <c r="F79">
        <v>1</v>
      </c>
      <c r="G79">
        <v>-1</v>
      </c>
      <c r="H79">
        <v>-1</v>
      </c>
      <c r="I79">
        <v>1</v>
      </c>
      <c r="J79">
        <v>38202811.28745725</v>
      </c>
      <c r="K79">
        <f t="shared" ref="K79:Q79" si="80">J29-J28</f>
        <v>-11869859.150850877</v>
      </c>
      <c r="L79">
        <f t="shared" si="80"/>
        <v>-100576814.25018048</v>
      </c>
      <c r="M79">
        <f t="shared" si="80"/>
        <v>-10647845.061982989</v>
      </c>
      <c r="N79">
        <f t="shared" si="80"/>
        <v>7711.7876562178135</v>
      </c>
      <c r="O79">
        <f t="shared" si="80"/>
        <v>-40070.164479643106</v>
      </c>
      <c r="P79">
        <f t="shared" si="80"/>
        <v>8441.8622358739376</v>
      </c>
      <c r="Q79">
        <f t="shared" si="80"/>
        <v>-60375.857674784958</v>
      </c>
      <c r="R79">
        <f t="shared" si="68"/>
        <v>-943.37277616851497</v>
      </c>
    </row>
    <row r="80" spans="1:18" x14ac:dyDescent="0.25">
      <c r="A80">
        <v>79</v>
      </c>
      <c r="B80" t="s">
        <v>102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1</v>
      </c>
      <c r="J80">
        <v>16657780.458528919</v>
      </c>
      <c r="K80">
        <f t="shared" ref="K80:Q80" si="81">J31-J30</f>
        <v>-45503168.22471422</v>
      </c>
      <c r="L80">
        <f t="shared" si="81"/>
        <v>-102662130.02010025</v>
      </c>
      <c r="M80">
        <f t="shared" si="81"/>
        <v>-10660685.963713318</v>
      </c>
      <c r="N80">
        <f t="shared" si="81"/>
        <v>12366.435599982738</v>
      </c>
      <c r="O80">
        <f t="shared" si="81"/>
        <v>-7112.8668631613255</v>
      </c>
      <c r="P80">
        <f t="shared" si="81"/>
        <v>22197.044697072357</v>
      </c>
      <c r="Q80">
        <f t="shared" si="81"/>
        <v>-76454.756165593863</v>
      </c>
      <c r="R80">
        <f t="shared" si="68"/>
        <v>-1194.6055650874041</v>
      </c>
    </row>
    <row r="81" spans="1:18" x14ac:dyDescent="0.25">
      <c r="A81">
        <v>80</v>
      </c>
      <c r="B81" t="s">
        <v>103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  <c r="I81">
        <v>1</v>
      </c>
      <c r="J81">
        <v>4692182.6163634062</v>
      </c>
      <c r="K81">
        <f t="shared" ref="K81:Q81" si="82">J33-J32</f>
        <v>-11938049.520629896</v>
      </c>
      <c r="L81">
        <f t="shared" si="82"/>
        <v>-100579827.47569817</v>
      </c>
      <c r="M81">
        <f t="shared" si="82"/>
        <v>-10653597.823150992</v>
      </c>
      <c r="N81">
        <f t="shared" si="82"/>
        <v>11389.444885700941</v>
      </c>
      <c r="O81">
        <f t="shared" si="82"/>
        <v>-10431.463382378221</v>
      </c>
      <c r="P81">
        <f t="shared" si="82"/>
        <v>528.92682141438127</v>
      </c>
      <c r="Q81">
        <f t="shared" si="82"/>
        <v>-64717.947813771665</v>
      </c>
      <c r="R81">
        <f t="shared" si="68"/>
        <v>-1011.2179345901823</v>
      </c>
    </row>
    <row r="82" spans="1:18" x14ac:dyDescent="0.25">
      <c r="A82">
        <v>81</v>
      </c>
      <c r="B82" t="s">
        <v>104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84187938.546300024</v>
      </c>
      <c r="K82">
        <f t="shared" ref="K82:Q82" si="83">J35-J34</f>
        <v>-40098273.085309818</v>
      </c>
      <c r="L82">
        <f t="shared" si="83"/>
        <v>-102613147.68120472</v>
      </c>
      <c r="M82">
        <f t="shared" si="83"/>
        <v>-5494069.515977174</v>
      </c>
      <c r="N82">
        <f t="shared" si="83"/>
        <v>-22453.141768008471</v>
      </c>
      <c r="O82">
        <f t="shared" si="83"/>
        <v>-16296.332654953003</v>
      </c>
      <c r="P82">
        <f t="shared" si="83"/>
        <v>-63872.680117428303</v>
      </c>
      <c r="Q82">
        <f t="shared" si="83"/>
        <v>-72669.485297441483</v>
      </c>
      <c r="R82">
        <f t="shared" si="68"/>
        <v>-1135.4607077725232</v>
      </c>
    </row>
    <row r="83" spans="1:18" x14ac:dyDescent="0.25">
      <c r="A83">
        <v>82</v>
      </c>
      <c r="B83" t="s">
        <v>105</v>
      </c>
      <c r="C83">
        <v>1</v>
      </c>
      <c r="D83">
        <v>-1</v>
      </c>
      <c r="E83">
        <v>-1</v>
      </c>
      <c r="F83">
        <v>-1</v>
      </c>
      <c r="G83">
        <v>1</v>
      </c>
      <c r="H83">
        <v>-1</v>
      </c>
      <c r="I83">
        <v>1</v>
      </c>
      <c r="J83">
        <v>44093663.452162489</v>
      </c>
      <c r="K83">
        <f t="shared" ref="K83:Q83" si="84">J37-J36</f>
        <v>-11872920.552227162</v>
      </c>
      <c r="L83">
        <f t="shared" si="84"/>
        <v>-100577374.98372272</v>
      </c>
      <c r="M83">
        <f t="shared" si="84"/>
        <v>-5472770.0733593702</v>
      </c>
      <c r="N83">
        <f t="shared" si="84"/>
        <v>-26741.733913004398</v>
      </c>
      <c r="O83">
        <f t="shared" si="84"/>
        <v>-26561.735507935286</v>
      </c>
      <c r="P83">
        <f t="shared" si="84"/>
        <v>-33828.603425145149</v>
      </c>
      <c r="Q83">
        <f t="shared" si="84"/>
        <v>-29610.37461912632</v>
      </c>
      <c r="R83">
        <f t="shared" si="68"/>
        <v>-462.66210342384875</v>
      </c>
    </row>
    <row r="84" spans="1:18" x14ac:dyDescent="0.25">
      <c r="A84">
        <v>83</v>
      </c>
      <c r="B84" t="s">
        <v>106</v>
      </c>
      <c r="C84">
        <v>-1</v>
      </c>
      <c r="D84">
        <v>1</v>
      </c>
      <c r="E84">
        <v>-1</v>
      </c>
      <c r="F84">
        <v>-1</v>
      </c>
      <c r="G84">
        <v>1</v>
      </c>
      <c r="H84">
        <v>-1</v>
      </c>
      <c r="I84">
        <v>1</v>
      </c>
      <c r="J84">
        <v>18768686.015018661</v>
      </c>
      <c r="K84">
        <f t="shared" ref="K84:Q84" si="85">J39-J38</f>
        <v>-45506988.134564877</v>
      </c>
      <c r="L84">
        <f t="shared" si="85"/>
        <v>-102601636.96332093</v>
      </c>
      <c r="M84">
        <f t="shared" si="85"/>
        <v>-5497537.5991142169</v>
      </c>
      <c r="N84">
        <f t="shared" si="85"/>
        <v>-13115.262690842152</v>
      </c>
      <c r="O84">
        <f t="shared" si="85"/>
        <v>14.424138903617859</v>
      </c>
      <c r="P84">
        <f t="shared" si="85"/>
        <v>24143.125901058316</v>
      </c>
      <c r="Q84">
        <f t="shared" si="85"/>
        <v>-4724.0888276100159</v>
      </c>
      <c r="R84">
        <f t="shared" si="68"/>
        <v>-73.813887931406498</v>
      </c>
    </row>
    <row r="85" spans="1:18" x14ac:dyDescent="0.25">
      <c r="A85">
        <v>84</v>
      </c>
      <c r="B85" t="s">
        <v>107</v>
      </c>
      <c r="C85">
        <v>1</v>
      </c>
      <c r="D85">
        <v>1</v>
      </c>
      <c r="E85">
        <v>-1</v>
      </c>
      <c r="F85">
        <v>-1</v>
      </c>
      <c r="G85">
        <v>1</v>
      </c>
      <c r="H85">
        <v>-1</v>
      </c>
      <c r="I85">
        <v>1</v>
      </c>
      <c r="J85">
        <v>6895410.2211737419</v>
      </c>
      <c r="K85">
        <f t="shared" ref="K85:Q85" si="86">J41-J40</f>
        <v>-11946862.951941706</v>
      </c>
      <c r="L85">
        <f t="shared" si="86"/>
        <v>-100563451.14850669</v>
      </c>
      <c r="M85">
        <f t="shared" si="86"/>
        <v>-5482020.9758825377</v>
      </c>
      <c r="N85">
        <f t="shared" si="86"/>
        <v>-30905.833958595991</v>
      </c>
      <c r="O85">
        <f t="shared" si="86"/>
        <v>-9692.0855385959148</v>
      </c>
      <c r="P85">
        <f t="shared" si="86"/>
        <v>5170.9302600026131</v>
      </c>
      <c r="Q85">
        <f t="shared" si="86"/>
        <v>32897.300912544131</v>
      </c>
      <c r="R85">
        <f t="shared" si="68"/>
        <v>514.02032675850205</v>
      </c>
    </row>
    <row r="86" spans="1:18" x14ac:dyDescent="0.25">
      <c r="A86">
        <v>85</v>
      </c>
      <c r="B86" t="s">
        <v>108</v>
      </c>
      <c r="C86">
        <v>-1</v>
      </c>
      <c r="D86">
        <v>-1</v>
      </c>
      <c r="E86">
        <v>1</v>
      </c>
      <c r="F86">
        <v>-1</v>
      </c>
      <c r="G86">
        <v>1</v>
      </c>
      <c r="H86">
        <v>-1</v>
      </c>
      <c r="I86">
        <v>1</v>
      </c>
      <c r="J86">
        <v>83721661.180975243</v>
      </c>
      <c r="K86">
        <f t="shared" ref="K86:Q86" si="87">J43-J42</f>
        <v>-40112138.841697857</v>
      </c>
      <c r="L86">
        <f t="shared" si="87"/>
        <v>-102617505.76227011</v>
      </c>
      <c r="M86">
        <f t="shared" si="87"/>
        <v>-5482657.4489696026</v>
      </c>
      <c r="N86">
        <f t="shared" si="87"/>
        <v>25434.553099811077</v>
      </c>
      <c r="O86">
        <f t="shared" si="87"/>
        <v>-12718.985660210252</v>
      </c>
      <c r="P86">
        <f t="shared" si="87"/>
        <v>5173.7790315747261</v>
      </c>
      <c r="Q86">
        <f t="shared" si="87"/>
        <v>33180.406763195992</v>
      </c>
      <c r="R86">
        <f t="shared" si="68"/>
        <v>518.44385567493737</v>
      </c>
    </row>
    <row r="87" spans="1:18" x14ac:dyDescent="0.25">
      <c r="A87">
        <v>86</v>
      </c>
      <c r="B87" t="s">
        <v>109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  <c r="I87">
        <v>1</v>
      </c>
      <c r="J87">
        <v>38209712.833524257</v>
      </c>
      <c r="K87">
        <f t="shared" ref="K87:Q87" si="88">J45-J44</f>
        <v>-11856997.196547609</v>
      </c>
      <c r="L87">
        <f t="shared" si="88"/>
        <v>-100577216.6605303</v>
      </c>
      <c r="M87">
        <f t="shared" si="88"/>
        <v>-5458628.3553021625</v>
      </c>
      <c r="N87">
        <f t="shared" si="88"/>
        <v>26331.25459510088</v>
      </c>
      <c r="O87">
        <f t="shared" si="88"/>
        <v>-17204.601784095168</v>
      </c>
      <c r="P87">
        <f t="shared" si="88"/>
        <v>-28131.682827711105</v>
      </c>
      <c r="Q87">
        <f t="shared" si="88"/>
        <v>26145.688770927489</v>
      </c>
      <c r="R87">
        <f t="shared" si="68"/>
        <v>408.52638704574201</v>
      </c>
    </row>
    <row r="88" spans="1:18" x14ac:dyDescent="0.25">
      <c r="A88">
        <v>87</v>
      </c>
      <c r="B88" t="s">
        <v>110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16660873.53334035</v>
      </c>
      <c r="K88">
        <f t="shared" ref="K88:Q88" si="89">J47-J46</f>
        <v>-45513805.280995741</v>
      </c>
      <c r="L88">
        <f t="shared" si="89"/>
        <v>-102604142.53474499</v>
      </c>
      <c r="M88">
        <f t="shared" si="89"/>
        <v>-5490036.7682861239</v>
      </c>
      <c r="N88">
        <f t="shared" si="89"/>
        <v>13215.600864827633</v>
      </c>
      <c r="O88">
        <f t="shared" si="89"/>
        <v>-2732.2288691401482</v>
      </c>
      <c r="P88">
        <f t="shared" si="89"/>
        <v>78601.145876213908</v>
      </c>
      <c r="Q88">
        <f t="shared" si="89"/>
        <v>-8206.9079709947109</v>
      </c>
      <c r="R88">
        <f t="shared" si="68"/>
        <v>-128.23293704679236</v>
      </c>
    </row>
    <row r="89" spans="1:18" x14ac:dyDescent="0.25">
      <c r="A89">
        <v>88</v>
      </c>
      <c r="B89" t="s">
        <v>111</v>
      </c>
      <c r="C89">
        <v>1</v>
      </c>
      <c r="D89">
        <v>1</v>
      </c>
      <c r="E89">
        <v>1</v>
      </c>
      <c r="F89">
        <v>-1</v>
      </c>
      <c r="G89">
        <v>1</v>
      </c>
      <c r="H89">
        <v>-1</v>
      </c>
      <c r="I89">
        <v>1</v>
      </c>
      <c r="J89">
        <v>4693283.8206288489</v>
      </c>
      <c r="K89">
        <f t="shared" ref="K89:Q89" si="90">J49-J48</f>
        <v>-11913959.11255189</v>
      </c>
      <c r="L89">
        <f t="shared" si="90"/>
        <v>-100564248.63346033</v>
      </c>
      <c r="M89">
        <f t="shared" si="90"/>
        <v>-5468453.6377697363</v>
      </c>
      <c r="N89">
        <f t="shared" si="90"/>
        <v>10418.524002373219</v>
      </c>
      <c r="O89">
        <f t="shared" si="90"/>
        <v>-1045.669804237783</v>
      </c>
      <c r="P89">
        <f t="shared" si="90"/>
        <v>10145.879257284105</v>
      </c>
      <c r="Q89">
        <f t="shared" si="90"/>
        <v>-12800.749998673797</v>
      </c>
      <c r="R89">
        <f t="shared" si="68"/>
        <v>-200.01171872927807</v>
      </c>
    </row>
    <row r="90" spans="1:18" x14ac:dyDescent="0.25">
      <c r="A90">
        <v>89</v>
      </c>
      <c r="B90" t="s">
        <v>112</v>
      </c>
      <c r="C90">
        <v>-1</v>
      </c>
      <c r="D90">
        <v>-1</v>
      </c>
      <c r="E90">
        <v>-1</v>
      </c>
      <c r="F90">
        <v>1</v>
      </c>
      <c r="G90">
        <v>1</v>
      </c>
      <c r="H90">
        <v>-1</v>
      </c>
      <c r="I90">
        <v>1</v>
      </c>
      <c r="J90">
        <v>84176840.953707814</v>
      </c>
      <c r="K90">
        <f t="shared" ref="K90:Q90" si="91">J51-J50</f>
        <v>-40092529.895931646</v>
      </c>
      <c r="L90">
        <f t="shared" si="91"/>
        <v>-102616452.70723593</v>
      </c>
      <c r="M90">
        <f t="shared" si="91"/>
        <v>-5510725.69603917</v>
      </c>
      <c r="N90">
        <f t="shared" si="91"/>
        <v>20672.721608623862</v>
      </c>
      <c r="O90">
        <f t="shared" si="91"/>
        <v>-238.897207275033</v>
      </c>
      <c r="P90">
        <f t="shared" si="91"/>
        <v>12027.32612618804</v>
      </c>
      <c r="Q90">
        <f t="shared" si="91"/>
        <v>-26021.382119834423</v>
      </c>
      <c r="R90">
        <f t="shared" si="68"/>
        <v>-406.58409562241286</v>
      </c>
    </row>
    <row r="91" spans="1:18" x14ac:dyDescent="0.25">
      <c r="A91">
        <v>90</v>
      </c>
      <c r="B91" t="s">
        <v>113</v>
      </c>
      <c r="C91">
        <v>1</v>
      </c>
      <c r="D91">
        <v>-1</v>
      </c>
      <c r="E91">
        <v>-1</v>
      </c>
      <c r="F91">
        <v>1</v>
      </c>
      <c r="G91">
        <v>1</v>
      </c>
      <c r="H91">
        <v>-1</v>
      </c>
      <c r="I91">
        <v>1</v>
      </c>
      <c r="J91">
        <v>44085082.135709837</v>
      </c>
      <c r="K91">
        <f t="shared" ref="K91:Q91" si="92">J53-J52</f>
        <v>-11870594.999575114</v>
      </c>
      <c r="L91">
        <f t="shared" si="92"/>
        <v>-100575027.65303278</v>
      </c>
      <c r="M91">
        <f t="shared" si="92"/>
        <v>-5506137.1940759197</v>
      </c>
      <c r="N91">
        <f t="shared" si="92"/>
        <v>13198.251232922077</v>
      </c>
      <c r="O91">
        <f t="shared" si="92"/>
        <v>6245.7361808866262</v>
      </c>
      <c r="P91">
        <f t="shared" si="92"/>
        <v>1210.6584065854549</v>
      </c>
      <c r="Q91">
        <f t="shared" si="92"/>
        <v>-18477.155849799514</v>
      </c>
      <c r="R91">
        <f t="shared" si="68"/>
        <v>-288.7055601531174</v>
      </c>
    </row>
    <row r="92" spans="1:18" x14ac:dyDescent="0.25">
      <c r="A92">
        <v>91</v>
      </c>
      <c r="B92" t="s">
        <v>114</v>
      </c>
      <c r="C92">
        <v>-1</v>
      </c>
      <c r="D92">
        <v>1</v>
      </c>
      <c r="E92">
        <v>-1</v>
      </c>
      <c r="F92">
        <v>1</v>
      </c>
      <c r="G92">
        <v>1</v>
      </c>
      <c r="H92">
        <v>-1</v>
      </c>
      <c r="I92">
        <v>1</v>
      </c>
      <c r="J92">
        <v>18765953.171758469</v>
      </c>
      <c r="K92">
        <f t="shared" ref="K92:Q92" si="93">J55-J54</f>
        <v>-45504971.719715878</v>
      </c>
      <c r="L92">
        <f t="shared" si="93"/>
        <v>-102611171.83692092</v>
      </c>
      <c r="M92">
        <f t="shared" si="93"/>
        <v>-5511987.1721800268</v>
      </c>
      <c r="N92">
        <f t="shared" si="93"/>
        <v>69510.097888275981</v>
      </c>
      <c r="O92">
        <f t="shared" si="93"/>
        <v>6224.4907282292843</v>
      </c>
      <c r="P92">
        <f t="shared" si="93"/>
        <v>8796.1583343446255</v>
      </c>
      <c r="Q92">
        <f t="shared" si="93"/>
        <v>20178.788045585155</v>
      </c>
      <c r="R92">
        <f t="shared" si="68"/>
        <v>315.29356321226805</v>
      </c>
    </row>
    <row r="93" spans="1:18" x14ac:dyDescent="0.25">
      <c r="A93">
        <v>92</v>
      </c>
      <c r="B93" t="s">
        <v>115</v>
      </c>
      <c r="C93">
        <v>1</v>
      </c>
      <c r="D93">
        <v>1</v>
      </c>
      <c r="E93">
        <v>-1</v>
      </c>
      <c r="F93">
        <v>1</v>
      </c>
      <c r="G93">
        <v>1</v>
      </c>
      <c r="H93">
        <v>-1</v>
      </c>
      <c r="I93">
        <v>1</v>
      </c>
      <c r="J93">
        <v>6891827.3829141874</v>
      </c>
      <c r="K93">
        <f t="shared" ref="K93:Q93" si="94">J57-J56</f>
        <v>-11948189.944077009</v>
      </c>
      <c r="L93">
        <f t="shared" si="94"/>
        <v>-100567092.92248297</v>
      </c>
      <c r="M93">
        <f t="shared" si="94"/>
        <v>-5507607.9468042031</v>
      </c>
      <c r="N93">
        <f t="shared" si="94"/>
        <v>42962.020829483867</v>
      </c>
      <c r="O93">
        <f t="shared" si="94"/>
        <v>-8424.559725612402</v>
      </c>
      <c r="P93">
        <f t="shared" si="94"/>
        <v>4116.9776803776622</v>
      </c>
      <c r="Q93">
        <f t="shared" si="94"/>
        <v>26427.544840209186</v>
      </c>
      <c r="R93">
        <f t="shared" si="68"/>
        <v>412.93038812826853</v>
      </c>
    </row>
    <row r="94" spans="1:18" x14ac:dyDescent="0.25">
      <c r="A94">
        <v>93</v>
      </c>
      <c r="B94" t="s">
        <v>116</v>
      </c>
      <c r="C94">
        <v>-1</v>
      </c>
      <c r="D94">
        <v>-1</v>
      </c>
      <c r="E94">
        <v>1</v>
      </c>
      <c r="F94">
        <v>1</v>
      </c>
      <c r="G94">
        <v>1</v>
      </c>
      <c r="H94">
        <v>-1</v>
      </c>
      <c r="I94">
        <v>1</v>
      </c>
      <c r="J94">
        <v>83710541.444960445</v>
      </c>
      <c r="K94">
        <f t="shared" ref="K94:Q94" si="95">J59-J58</f>
        <v>-40094009.422762617</v>
      </c>
      <c r="L94">
        <f t="shared" si="95"/>
        <v>-102614549.57845332</v>
      </c>
      <c r="M94">
        <f t="shared" si="95"/>
        <v>-5510688.4880650043</v>
      </c>
      <c r="N94">
        <f t="shared" si="95"/>
        <v>-3039.4833747446537</v>
      </c>
      <c r="O94">
        <f t="shared" si="95"/>
        <v>1481.4782273061574</v>
      </c>
      <c r="P94">
        <f t="shared" si="95"/>
        <v>-4035.4824603796005</v>
      </c>
      <c r="Q94">
        <f t="shared" si="95"/>
        <v>3415.2935240268707</v>
      </c>
      <c r="R94">
        <f t="shared" si="68"/>
        <v>53.363961312919855</v>
      </c>
    </row>
    <row r="95" spans="1:18" x14ac:dyDescent="0.25">
      <c r="A95">
        <v>94</v>
      </c>
      <c r="B95" t="s">
        <v>117</v>
      </c>
      <c r="C95">
        <v>1</v>
      </c>
      <c r="D95">
        <v>-1</v>
      </c>
      <c r="E95">
        <v>1</v>
      </c>
      <c r="F95">
        <v>1</v>
      </c>
      <c r="G95">
        <v>1</v>
      </c>
      <c r="H95">
        <v>-1</v>
      </c>
      <c r="I95">
        <v>1</v>
      </c>
      <c r="J95">
        <v>38203633.531947993</v>
      </c>
      <c r="K95">
        <f t="shared" ref="K95:Q95" si="96">J61-J60</f>
        <v>-11861093.004215043</v>
      </c>
      <c r="L95">
        <f t="shared" si="96"/>
        <v>-100576491.81188351</v>
      </c>
      <c r="M95">
        <f t="shared" si="96"/>
        <v>-5505954.8625545502</v>
      </c>
      <c r="N95">
        <f t="shared" si="96"/>
        <v>-7401.6334999576211</v>
      </c>
      <c r="O95">
        <f t="shared" si="96"/>
        <v>11215.562177956104</v>
      </c>
      <c r="P95">
        <f t="shared" si="96"/>
        <v>1599.819133579731</v>
      </c>
      <c r="Q95">
        <f t="shared" si="96"/>
        <v>11636.959948293865</v>
      </c>
      <c r="R95">
        <f t="shared" si="68"/>
        <v>181.82749919209164</v>
      </c>
    </row>
    <row r="96" spans="1:18" x14ac:dyDescent="0.25">
      <c r="A96">
        <v>95</v>
      </c>
      <c r="B96" t="s">
        <v>118</v>
      </c>
      <c r="C96">
        <v>-1</v>
      </c>
      <c r="D96">
        <v>1</v>
      </c>
      <c r="E96">
        <v>1</v>
      </c>
      <c r="F96">
        <v>1</v>
      </c>
      <c r="G96">
        <v>1</v>
      </c>
      <c r="H96">
        <v>-1</v>
      </c>
      <c r="I96">
        <v>1</v>
      </c>
      <c r="J96">
        <v>16658255.492041061</v>
      </c>
      <c r="K96">
        <f t="shared" ref="K96:Q96" si="97">J63-J62</f>
        <v>-45506159.169512354</v>
      </c>
      <c r="L96">
        <f t="shared" si="97"/>
        <v>-102609822.25434005</v>
      </c>
      <c r="M96">
        <f t="shared" si="97"/>
        <v>-5513020.0499663949</v>
      </c>
      <c r="N96">
        <f t="shared" si="97"/>
        <v>1468.8074258267879</v>
      </c>
      <c r="O96">
        <f t="shared" si="97"/>
        <v>2400.8019380681217</v>
      </c>
      <c r="P96">
        <f t="shared" si="97"/>
        <v>-3980.1228000707924</v>
      </c>
      <c r="Q96">
        <f t="shared" si="97"/>
        <v>-13186.038334071636</v>
      </c>
      <c r="R96">
        <f t="shared" si="68"/>
        <v>-206.03184896986932</v>
      </c>
    </row>
    <row r="97" spans="1:18" x14ac:dyDescent="0.25">
      <c r="A97">
        <v>96</v>
      </c>
      <c r="B97" t="s">
        <v>119</v>
      </c>
      <c r="C97">
        <v>1</v>
      </c>
      <c r="D97">
        <v>1</v>
      </c>
      <c r="E97">
        <v>1</v>
      </c>
      <c r="F97">
        <v>1</v>
      </c>
      <c r="G97">
        <v>1</v>
      </c>
      <c r="H97">
        <v>-1</v>
      </c>
      <c r="I97">
        <v>1</v>
      </c>
      <c r="J97">
        <v>4691670.851407052</v>
      </c>
      <c r="K97">
        <f t="shared" ref="K97:Q97" si="98">J65-J64</f>
        <v>-11917396.895235045</v>
      </c>
      <c r="L97">
        <f t="shared" si="98"/>
        <v>-100570800.61199437</v>
      </c>
      <c r="M97">
        <f t="shared" si="98"/>
        <v>-5504668.9704573974</v>
      </c>
      <c r="N97">
        <f t="shared" si="98"/>
        <v>-1764.0450432449579</v>
      </c>
      <c r="O97">
        <f t="shared" si="98"/>
        <v>-2504.5115314796567</v>
      </c>
      <c r="P97">
        <f t="shared" si="98"/>
        <v>6984.3988519944251</v>
      </c>
      <c r="Q97">
        <f t="shared" si="98"/>
        <v>-5207.8130855113268</v>
      </c>
      <c r="R97">
        <f t="shared" si="68"/>
        <v>-81.372079461114481</v>
      </c>
    </row>
    <row r="98" spans="1:18" x14ac:dyDescent="0.25">
      <c r="A98">
        <v>97</v>
      </c>
      <c r="B98" t="s">
        <v>120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1</v>
      </c>
      <c r="I98">
        <v>1</v>
      </c>
      <c r="J98">
        <v>84187701.629947782</v>
      </c>
      <c r="K98">
        <f t="shared" ref="K98:Q98" si="99">J67-J66</f>
        <v>-40096141.893508397</v>
      </c>
      <c r="L98">
        <f t="shared" si="99"/>
        <v>28222701.704026014</v>
      </c>
      <c r="M98">
        <f t="shared" si="99"/>
        <v>2047193.1826436818</v>
      </c>
      <c r="N98">
        <f t="shared" si="99"/>
        <v>26329.199544578791</v>
      </c>
      <c r="O98">
        <f t="shared" si="99"/>
        <v>9133.5105174779892</v>
      </c>
      <c r="P98">
        <f t="shared" si="99"/>
        <v>34032.653641343117</v>
      </c>
      <c r="Q98">
        <f t="shared" si="99"/>
        <v>222746.2143175602</v>
      </c>
      <c r="R98">
        <f t="shared" si="68"/>
        <v>3480.4095987118781</v>
      </c>
    </row>
    <row r="99" spans="1:18" x14ac:dyDescent="0.25">
      <c r="A99">
        <v>98</v>
      </c>
      <c r="B99" t="s">
        <v>121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I99">
        <v>1</v>
      </c>
      <c r="J99">
        <v>44090321.895444028</v>
      </c>
      <c r="K99">
        <f t="shared" ref="K99:Q99" si="100">J69-J68</f>
        <v>-11874252.733368807</v>
      </c>
      <c r="L99">
        <f t="shared" si="100"/>
        <v>33550145.714736581</v>
      </c>
      <c r="M99">
        <f t="shared" si="100"/>
        <v>2069746.4387532175</v>
      </c>
      <c r="N99">
        <f t="shared" si="100"/>
        <v>19525.474711984396</v>
      </c>
      <c r="O99">
        <f t="shared" si="100"/>
        <v>20253.502748906612</v>
      </c>
      <c r="P99">
        <f t="shared" si="100"/>
        <v>14604.224593043327</v>
      </c>
      <c r="Q99">
        <f t="shared" si="100"/>
        <v>-54493.633399009705</v>
      </c>
      <c r="R99">
        <f t="shared" ref="R99:R130" si="101">Q99/64</f>
        <v>-851.46302185952663</v>
      </c>
    </row>
    <row r="100" spans="1:18" x14ac:dyDescent="0.25">
      <c r="A100">
        <v>99</v>
      </c>
      <c r="B100" t="s">
        <v>122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1</v>
      </c>
      <c r="I100">
        <v>1</v>
      </c>
      <c r="J100">
        <v>18768066.941739529</v>
      </c>
      <c r="K100">
        <f t="shared" ref="K100:Q100" si="102">J71-J70</f>
        <v>-45512982.22808893</v>
      </c>
      <c r="L100">
        <f t="shared" si="102"/>
        <v>28223859.229310442</v>
      </c>
      <c r="M100">
        <f t="shared" si="102"/>
        <v>2048095.5172711462</v>
      </c>
      <c r="N100">
        <f t="shared" si="102"/>
        <v>30978.490241080523</v>
      </c>
      <c r="O100">
        <f t="shared" si="102"/>
        <v>2519.4704382419586</v>
      </c>
      <c r="P100">
        <f t="shared" si="102"/>
        <v>10026.59567964077</v>
      </c>
      <c r="Q100">
        <f t="shared" si="102"/>
        <v>134549.05325460434</v>
      </c>
      <c r="R100">
        <f t="shared" si="101"/>
        <v>2102.3289571031928</v>
      </c>
    </row>
    <row r="101" spans="1:18" x14ac:dyDescent="0.25">
      <c r="A101">
        <v>100</v>
      </c>
      <c r="B101" t="s">
        <v>123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1</v>
      </c>
      <c r="I101">
        <v>1</v>
      </c>
      <c r="J101">
        <v>6893503.8764163516</v>
      </c>
      <c r="K101">
        <f t="shared" ref="K101:Q101" si="103">J73-J72</f>
        <v>-11968138.094827443</v>
      </c>
      <c r="L101">
        <f t="shared" si="103"/>
        <v>33569660.91106078</v>
      </c>
      <c r="M101">
        <f t="shared" si="103"/>
        <v>2068605.206918478</v>
      </c>
      <c r="N101">
        <f t="shared" si="103"/>
        <v>26903.510141670704</v>
      </c>
      <c r="O101">
        <f t="shared" si="103"/>
        <v>846.16070830821991</v>
      </c>
      <c r="P101">
        <f t="shared" si="103"/>
        <v>2981.9825570583344</v>
      </c>
      <c r="Q101">
        <f t="shared" si="103"/>
        <v>-106058.58172869682</v>
      </c>
      <c r="R101">
        <f t="shared" si="101"/>
        <v>-1657.1653395108879</v>
      </c>
    </row>
    <row r="102" spans="1:18" x14ac:dyDescent="0.25">
      <c r="A102">
        <v>101</v>
      </c>
      <c r="B102" t="s">
        <v>124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83721527.109570071</v>
      </c>
      <c r="K102">
        <f t="shared" ref="K102:Q102" si="104">J75-J74</f>
        <v>-40094376.150140718</v>
      </c>
      <c r="L102">
        <f t="shared" si="104"/>
        <v>28221155.993123755</v>
      </c>
      <c r="M102">
        <f t="shared" si="104"/>
        <v>2059665.9446633905</v>
      </c>
      <c r="N102">
        <f t="shared" si="104"/>
        <v>10214.51706302166</v>
      </c>
      <c r="O102">
        <f t="shared" si="104"/>
        <v>4855.0148981511593</v>
      </c>
      <c r="P102">
        <f t="shared" si="104"/>
        <v>-10191.892996668816</v>
      </c>
      <c r="Q102">
        <f t="shared" si="104"/>
        <v>-60536.958314538002</v>
      </c>
      <c r="R102">
        <f t="shared" si="101"/>
        <v>-945.88997366465628</v>
      </c>
    </row>
    <row r="103" spans="1:18" x14ac:dyDescent="0.25">
      <c r="A103">
        <v>102</v>
      </c>
      <c r="B103" t="s">
        <v>125</v>
      </c>
      <c r="C103">
        <v>1</v>
      </c>
      <c r="D103">
        <v>-1</v>
      </c>
      <c r="E103">
        <v>1</v>
      </c>
      <c r="F103">
        <v>-1</v>
      </c>
      <c r="G103">
        <v>-1</v>
      </c>
      <c r="H103">
        <v>1</v>
      </c>
      <c r="I103">
        <v>1</v>
      </c>
      <c r="J103">
        <v>38207410.5690488</v>
      </c>
      <c r="K103">
        <f t="shared" ref="K103:Q103" si="105">J77-J76</f>
        <v>-11872876.14643338</v>
      </c>
      <c r="L103">
        <f t="shared" si="105"/>
        <v>33550242.92748747</v>
      </c>
      <c r="M103">
        <f t="shared" si="105"/>
        <v>2073814.0250366479</v>
      </c>
      <c r="N103">
        <f t="shared" si="105"/>
        <v>4564.542452454567</v>
      </c>
      <c r="O103">
        <f t="shared" si="105"/>
        <v>9483.7753241211176</v>
      </c>
      <c r="P103">
        <f t="shared" si="105"/>
        <v>5583.6772520542145</v>
      </c>
      <c r="Q103">
        <f t="shared" si="105"/>
        <v>-44496.315949700773</v>
      </c>
      <c r="R103">
        <f t="shared" si="101"/>
        <v>-695.25493671407457</v>
      </c>
    </row>
    <row r="104" spans="1:18" x14ac:dyDescent="0.25">
      <c r="A104">
        <v>103</v>
      </c>
      <c r="B104" t="s">
        <v>126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1</v>
      </c>
      <c r="J104">
        <v>16661212.386478379</v>
      </c>
      <c r="K104">
        <f t="shared" ref="K104:Q104" si="106">J79-J78</f>
        <v>-45507791.648484506</v>
      </c>
      <c r="L104">
        <f t="shared" si="106"/>
        <v>28219478.467759825</v>
      </c>
      <c r="M104">
        <f t="shared" si="106"/>
        <v>2057423.1614788473</v>
      </c>
      <c r="N104">
        <f t="shared" si="106"/>
        <v>8901.5773597359657</v>
      </c>
      <c r="O104">
        <f t="shared" si="106"/>
        <v>-3161.3749132454395</v>
      </c>
      <c r="P104">
        <f t="shared" si="106"/>
        <v>-29698.697801202536</v>
      </c>
      <c r="Q104">
        <f t="shared" si="106"/>
        <v>-31123.467758566141</v>
      </c>
      <c r="R104">
        <f t="shared" si="101"/>
        <v>-486.30418372759596</v>
      </c>
    </row>
    <row r="105" spans="1:18" x14ac:dyDescent="0.25">
      <c r="A105">
        <v>104</v>
      </c>
      <c r="B105" t="s">
        <v>127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1</v>
      </c>
      <c r="J105">
        <v>4692697.6391077098</v>
      </c>
      <c r="K105">
        <f t="shared" ref="K105:Q105" si="107">J81-J80</f>
        <v>-11965597.842165513</v>
      </c>
      <c r="L105">
        <f t="shared" si="107"/>
        <v>33565118.704084322</v>
      </c>
      <c r="M105">
        <f t="shared" si="107"/>
        <v>2082302.5444020778</v>
      </c>
      <c r="N105">
        <f t="shared" si="107"/>
        <v>7088.140562325716</v>
      </c>
      <c r="O105">
        <f t="shared" si="107"/>
        <v>-976.99071428179741</v>
      </c>
      <c r="P105">
        <f t="shared" si="107"/>
        <v>-3318.5965192168951</v>
      </c>
      <c r="Q105">
        <f t="shared" si="107"/>
        <v>-21668.117875657976</v>
      </c>
      <c r="R105">
        <f t="shared" si="101"/>
        <v>-338.56434180715587</v>
      </c>
    </row>
    <row r="106" spans="1:18" x14ac:dyDescent="0.25">
      <c r="A106">
        <v>105</v>
      </c>
      <c r="B106" t="s">
        <v>128</v>
      </c>
      <c r="C106">
        <v>-1</v>
      </c>
      <c r="D106">
        <v>-1</v>
      </c>
      <c r="E106">
        <v>-1</v>
      </c>
      <c r="F106">
        <v>1</v>
      </c>
      <c r="G106">
        <v>-1</v>
      </c>
      <c r="H106">
        <v>1</v>
      </c>
      <c r="I106">
        <v>1</v>
      </c>
      <c r="J106">
        <v>84176146.039378405</v>
      </c>
      <c r="K106">
        <f t="shared" ref="K106:Q106" si="108">J83-J82</f>
        <v>-40094275.094137534</v>
      </c>
      <c r="L106">
        <f t="shared" si="108"/>
        <v>28225352.533082657</v>
      </c>
      <c r="M106">
        <f t="shared" si="108"/>
        <v>2035772.6974820048</v>
      </c>
      <c r="N106">
        <f t="shared" si="108"/>
        <v>21299.442617803812</v>
      </c>
      <c r="O106">
        <f t="shared" si="108"/>
        <v>-4288.5921449959278</v>
      </c>
      <c r="P106">
        <f t="shared" si="108"/>
        <v>-10265.402852982283</v>
      </c>
      <c r="Q106">
        <f t="shared" si="108"/>
        <v>30044.076692283154</v>
      </c>
      <c r="R106">
        <f t="shared" si="101"/>
        <v>469.43869831692427</v>
      </c>
    </row>
    <row r="107" spans="1:18" x14ac:dyDescent="0.25">
      <c r="A107">
        <v>106</v>
      </c>
      <c r="B107" t="s">
        <v>129</v>
      </c>
      <c r="C107">
        <v>1</v>
      </c>
      <c r="D107">
        <v>-1</v>
      </c>
      <c r="E107">
        <v>-1</v>
      </c>
      <c r="F107">
        <v>1</v>
      </c>
      <c r="G107">
        <v>-1</v>
      </c>
      <c r="H107">
        <v>1</v>
      </c>
      <c r="I107">
        <v>1</v>
      </c>
      <c r="J107">
        <v>44080506.217525318</v>
      </c>
      <c r="K107">
        <f t="shared" ref="K107:Q107" si="109">J85-J84</f>
        <v>-11873275.79384492</v>
      </c>
      <c r="L107">
        <f t="shared" si="109"/>
        <v>33560125.18262317</v>
      </c>
      <c r="M107">
        <f t="shared" si="109"/>
        <v>2038185.8148142397</v>
      </c>
      <c r="N107">
        <f t="shared" si="109"/>
        <v>15516.623231679201</v>
      </c>
      <c r="O107">
        <f t="shared" si="109"/>
        <v>-17790.571267753839</v>
      </c>
      <c r="P107">
        <f t="shared" si="109"/>
        <v>-9706.5096774995327</v>
      </c>
      <c r="Q107">
        <f t="shared" si="109"/>
        <v>-18972.195641055703</v>
      </c>
      <c r="R107">
        <f t="shared" si="101"/>
        <v>-296.44055689149536</v>
      </c>
    </row>
    <row r="108" spans="1:18" x14ac:dyDescent="0.25">
      <c r="A108">
        <v>107</v>
      </c>
      <c r="B108" t="s">
        <v>130</v>
      </c>
      <c r="C108">
        <v>-1</v>
      </c>
      <c r="D108">
        <v>1</v>
      </c>
      <c r="E108">
        <v>-1</v>
      </c>
      <c r="F108">
        <v>1</v>
      </c>
      <c r="G108">
        <v>-1</v>
      </c>
      <c r="H108">
        <v>1</v>
      </c>
      <c r="I108">
        <v>1</v>
      </c>
      <c r="J108">
        <v>18758983.496455941</v>
      </c>
      <c r="K108">
        <f t="shared" ref="K108:Q108" si="110">J87-J86</f>
        <v>-45511948.347450987</v>
      </c>
      <c r="L108">
        <f t="shared" si="110"/>
        <v>28255141.645150248</v>
      </c>
      <c r="M108">
        <f t="shared" si="110"/>
        <v>2040289.1017398089</v>
      </c>
      <c r="N108">
        <f t="shared" si="110"/>
        <v>24029.093667440116</v>
      </c>
      <c r="O108">
        <f t="shared" si="110"/>
        <v>896.70149528980255</v>
      </c>
      <c r="P108">
        <f t="shared" si="110"/>
        <v>-4485.6161238849163</v>
      </c>
      <c r="Q108">
        <f t="shared" si="110"/>
        <v>-33305.461859285831</v>
      </c>
      <c r="R108">
        <f t="shared" si="101"/>
        <v>-520.39784155134112</v>
      </c>
    </row>
    <row r="109" spans="1:18" x14ac:dyDescent="0.25">
      <c r="A109">
        <v>108</v>
      </c>
      <c r="B109" t="s">
        <v>131</v>
      </c>
      <c r="C109">
        <v>1</v>
      </c>
      <c r="D109">
        <v>1</v>
      </c>
      <c r="E109">
        <v>-1</v>
      </c>
      <c r="F109">
        <v>1</v>
      </c>
      <c r="G109">
        <v>-1</v>
      </c>
      <c r="H109">
        <v>1</v>
      </c>
      <c r="I109">
        <v>1</v>
      </c>
      <c r="J109">
        <v>6886496.9235268552</v>
      </c>
      <c r="K109">
        <f t="shared" ref="K109:Q109" si="111">J89-J88</f>
        <v>-11967589.712711502</v>
      </c>
      <c r="L109">
        <f t="shared" si="111"/>
        <v>33599846.168443851</v>
      </c>
      <c r="M109">
        <f t="shared" si="111"/>
        <v>2039893.9012846649</v>
      </c>
      <c r="N109">
        <f t="shared" si="111"/>
        <v>21583.130516387522</v>
      </c>
      <c r="O109">
        <f t="shared" si="111"/>
        <v>-2797.0768624544144</v>
      </c>
      <c r="P109">
        <f t="shared" si="111"/>
        <v>1686.5590649023652</v>
      </c>
      <c r="Q109">
        <f t="shared" si="111"/>
        <v>-68455.266618929803</v>
      </c>
      <c r="R109">
        <f t="shared" si="101"/>
        <v>-1069.6135409207782</v>
      </c>
    </row>
    <row r="110" spans="1:18" x14ac:dyDescent="0.25">
      <c r="A110">
        <v>109</v>
      </c>
      <c r="B110" t="s">
        <v>132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1</v>
      </c>
      <c r="I110">
        <v>1</v>
      </c>
      <c r="J110">
        <v>83710548.953889057</v>
      </c>
      <c r="K110">
        <f t="shared" ref="K110:Q110" si="112">J91-J90</f>
        <v>-40091758.817997977</v>
      </c>
      <c r="L110">
        <f t="shared" si="112"/>
        <v>28221934.89635653</v>
      </c>
      <c r="M110">
        <f t="shared" si="112"/>
        <v>2041425.0542031527</v>
      </c>
      <c r="N110">
        <f t="shared" si="112"/>
        <v>4588.501963250339</v>
      </c>
      <c r="O110">
        <f t="shared" si="112"/>
        <v>-7474.4703757017851</v>
      </c>
      <c r="P110">
        <f t="shared" si="112"/>
        <v>6484.6333881616592</v>
      </c>
      <c r="Q110">
        <f t="shared" si="112"/>
        <v>-10816.667719602585</v>
      </c>
      <c r="R110">
        <f t="shared" si="101"/>
        <v>-169.01043311879039</v>
      </c>
    </row>
    <row r="111" spans="1:18" x14ac:dyDescent="0.25">
      <c r="A111">
        <v>110</v>
      </c>
      <c r="B111" t="s">
        <v>133</v>
      </c>
      <c r="C111">
        <v>1</v>
      </c>
      <c r="D111">
        <v>-1</v>
      </c>
      <c r="E111">
        <v>1</v>
      </c>
      <c r="F111">
        <v>1</v>
      </c>
      <c r="G111">
        <v>-1</v>
      </c>
      <c r="H111">
        <v>1</v>
      </c>
      <c r="I111">
        <v>1</v>
      </c>
      <c r="J111">
        <v>38200141.314804196</v>
      </c>
      <c r="K111">
        <f t="shared" ref="K111:Q111" si="113">J93-J92</f>
        <v>-11874125.788844282</v>
      </c>
      <c r="L111">
        <f t="shared" si="113"/>
        <v>33556781.775638871</v>
      </c>
      <c r="M111">
        <f t="shared" si="113"/>
        <v>2044078.9144379497</v>
      </c>
      <c r="N111">
        <f t="shared" si="113"/>
        <v>4379.2253758236766</v>
      </c>
      <c r="O111">
        <f t="shared" si="113"/>
        <v>-26548.077058792114</v>
      </c>
      <c r="P111">
        <f t="shared" si="113"/>
        <v>-14649.050453841686</v>
      </c>
      <c r="Q111">
        <f t="shared" si="113"/>
        <v>-4679.1806539669633</v>
      </c>
      <c r="R111">
        <f t="shared" si="101"/>
        <v>-73.112197718233801</v>
      </c>
    </row>
    <row r="112" spans="1:18" x14ac:dyDescent="0.25">
      <c r="A112">
        <v>111</v>
      </c>
      <c r="B112" t="s">
        <v>134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16653635.482231069</v>
      </c>
      <c r="K112">
        <f t="shared" ref="K112:Q112" si="114">J95-J94</f>
        <v>-45506907.913012452</v>
      </c>
      <c r="L112">
        <f t="shared" si="114"/>
        <v>28232916.418547574</v>
      </c>
      <c r="M112">
        <f t="shared" si="114"/>
        <v>2038057.7665698081</v>
      </c>
      <c r="N112">
        <f t="shared" si="114"/>
        <v>4733.6255104541779</v>
      </c>
      <c r="O112">
        <f t="shared" si="114"/>
        <v>-4362.1501252129674</v>
      </c>
      <c r="P112">
        <f t="shared" si="114"/>
        <v>9734.0839506499469</v>
      </c>
      <c r="Q112">
        <f t="shared" si="114"/>
        <v>5635.3015939593315</v>
      </c>
      <c r="R112">
        <f t="shared" si="101"/>
        <v>88.051587405614555</v>
      </c>
    </row>
    <row r="113" spans="1:18" x14ac:dyDescent="0.25">
      <c r="A113">
        <v>112</v>
      </c>
      <c r="B113" t="s">
        <v>135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1</v>
      </c>
      <c r="J113">
        <v>4689961.8639792129</v>
      </c>
      <c r="K113">
        <f t="shared" ref="K113:Q113" si="115">J97-J96</f>
        <v>-11966584.640634008</v>
      </c>
      <c r="L113">
        <f t="shared" si="115"/>
        <v>33588762.274277307</v>
      </c>
      <c r="M113">
        <f t="shared" si="115"/>
        <v>2039021.6423456818</v>
      </c>
      <c r="N113">
        <f t="shared" si="115"/>
        <v>8351.0795089974999</v>
      </c>
      <c r="O113">
        <f t="shared" si="115"/>
        <v>-3232.8524690717459</v>
      </c>
      <c r="P113">
        <f t="shared" si="115"/>
        <v>-4905.3134695477784</v>
      </c>
      <c r="Q113">
        <f t="shared" si="115"/>
        <v>10964.521652065217</v>
      </c>
      <c r="R113">
        <f t="shared" si="101"/>
        <v>171.32065081351902</v>
      </c>
    </row>
    <row r="114" spans="1:18" x14ac:dyDescent="0.25">
      <c r="A114">
        <v>113</v>
      </c>
      <c r="B114" t="s">
        <v>136</v>
      </c>
      <c r="C114">
        <v>-1</v>
      </c>
      <c r="D114">
        <v>-1</v>
      </c>
      <c r="E114">
        <v>-1</v>
      </c>
      <c r="F114">
        <v>-1</v>
      </c>
      <c r="G114">
        <v>1</v>
      </c>
      <c r="H114">
        <v>1</v>
      </c>
      <c r="I114">
        <v>1</v>
      </c>
      <c r="J114">
        <v>84187919.90383476</v>
      </c>
      <c r="K114">
        <f t="shared" ref="K114:Q114" si="116">J99-J98</f>
        <v>-40097379.734503753</v>
      </c>
      <c r="L114">
        <f t="shared" si="116"/>
        <v>28221889.160139591</v>
      </c>
      <c r="M114">
        <f t="shared" si="116"/>
        <v>5327444.0107105672</v>
      </c>
      <c r="N114">
        <f t="shared" si="116"/>
        <v>22553.256109535694</v>
      </c>
      <c r="O114">
        <f t="shared" si="116"/>
        <v>-6803.7248325943947</v>
      </c>
      <c r="P114">
        <f t="shared" si="116"/>
        <v>11119.992231428623</v>
      </c>
      <c r="Q114">
        <f t="shared" si="116"/>
        <v>-19428.429048299789</v>
      </c>
      <c r="R114">
        <f t="shared" si="101"/>
        <v>-303.56920387968421</v>
      </c>
    </row>
    <row r="115" spans="1:18" x14ac:dyDescent="0.25">
      <c r="A115">
        <v>114</v>
      </c>
      <c r="B115" t="s">
        <v>137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1</v>
      </c>
      <c r="I115">
        <v>1</v>
      </c>
      <c r="J115">
        <v>44092608.167280793</v>
      </c>
      <c r="K115">
        <f t="shared" ref="K115:Q115" si="117">J101-J100</f>
        <v>-11874563.065323178</v>
      </c>
      <c r="L115">
        <f t="shared" si="117"/>
        <v>33544844.133261487</v>
      </c>
      <c r="M115">
        <f t="shared" si="117"/>
        <v>5345801.6817503385</v>
      </c>
      <c r="N115">
        <f t="shared" si="117"/>
        <v>20509.689647331834</v>
      </c>
      <c r="O115">
        <f t="shared" si="117"/>
        <v>-4074.9800994098186</v>
      </c>
      <c r="P115">
        <f t="shared" si="117"/>
        <v>-1673.3097299337387</v>
      </c>
      <c r="Q115">
        <f t="shared" si="117"/>
        <v>-7044.6131225824356</v>
      </c>
      <c r="R115">
        <f t="shared" si="101"/>
        <v>-110.07208004035056</v>
      </c>
    </row>
    <row r="116" spans="1:18" x14ac:dyDescent="0.25">
      <c r="A116">
        <v>115</v>
      </c>
      <c r="B116" t="s">
        <v>138</v>
      </c>
      <c r="C116">
        <v>-1</v>
      </c>
      <c r="D116">
        <v>1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18769515.68728533</v>
      </c>
      <c r="K116">
        <f t="shared" ref="K116:Q116" si="118">J103-J102</f>
        <v>-45514116.540521272</v>
      </c>
      <c r="L116">
        <f t="shared" si="118"/>
        <v>28221500.003707338</v>
      </c>
      <c r="M116">
        <f t="shared" si="118"/>
        <v>5329086.9343637154</v>
      </c>
      <c r="N116">
        <f t="shared" si="118"/>
        <v>14148.080373257399</v>
      </c>
      <c r="O116">
        <f t="shared" si="118"/>
        <v>-5649.9746105670929</v>
      </c>
      <c r="P116">
        <f t="shared" si="118"/>
        <v>4628.7604259699583</v>
      </c>
      <c r="Q116">
        <f t="shared" si="118"/>
        <v>15775.57024872303</v>
      </c>
      <c r="R116">
        <f t="shared" si="101"/>
        <v>246.49328513629735</v>
      </c>
    </row>
    <row r="117" spans="1:18" x14ac:dyDescent="0.25">
      <c r="A117">
        <v>116</v>
      </c>
      <c r="B117" t="s">
        <v>139</v>
      </c>
      <c r="C117">
        <v>1</v>
      </c>
      <c r="D117">
        <v>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6896462.8053769022</v>
      </c>
      <c r="K117">
        <f t="shared" ref="K117:Q117" si="119">J105-J104</f>
        <v>-11968514.74737067</v>
      </c>
      <c r="L117">
        <f t="shared" si="119"/>
        <v>33542193.806318991</v>
      </c>
      <c r="M117">
        <f t="shared" si="119"/>
        <v>5345640.2363244966</v>
      </c>
      <c r="N117">
        <f t="shared" si="119"/>
        <v>24879.382923230529</v>
      </c>
      <c r="O117">
        <f t="shared" si="119"/>
        <v>-1813.4367974102497</v>
      </c>
      <c r="P117">
        <f t="shared" si="119"/>
        <v>2184.3841989636421</v>
      </c>
      <c r="Q117">
        <f t="shared" si="119"/>
        <v>26380.101281985641</v>
      </c>
      <c r="R117">
        <f t="shared" si="101"/>
        <v>412.18908253102563</v>
      </c>
    </row>
    <row r="118" spans="1:18" x14ac:dyDescent="0.25">
      <c r="A118">
        <v>117</v>
      </c>
      <c r="B118" t="s">
        <v>140</v>
      </c>
      <c r="C118">
        <v>-1</v>
      </c>
      <c r="D118">
        <v>-1</v>
      </c>
      <c r="E118">
        <v>1</v>
      </c>
      <c r="F118">
        <v>-1</v>
      </c>
      <c r="G118">
        <v>1</v>
      </c>
      <c r="H118">
        <v>1</v>
      </c>
      <c r="I118">
        <v>1</v>
      </c>
      <c r="J118">
        <v>83721564.345651433</v>
      </c>
      <c r="K118">
        <f t="shared" ref="K118:Q118" si="120">J107-J106</f>
        <v>-40095639.821853086</v>
      </c>
      <c r="L118">
        <f t="shared" si="120"/>
        <v>28220999.300292615</v>
      </c>
      <c r="M118">
        <f t="shared" si="120"/>
        <v>5334772.6495405138</v>
      </c>
      <c r="N118">
        <f t="shared" si="120"/>
        <v>2413.1173322349787</v>
      </c>
      <c r="O118">
        <f t="shared" si="120"/>
        <v>-5782.8193861246109</v>
      </c>
      <c r="P118">
        <f t="shared" si="120"/>
        <v>-13501.979122757912</v>
      </c>
      <c r="Q118">
        <f t="shared" si="120"/>
        <v>558.89317548274994</v>
      </c>
      <c r="R118">
        <f t="shared" si="101"/>
        <v>8.7327058669179678</v>
      </c>
    </row>
    <row r="119" spans="1:18" x14ac:dyDescent="0.25">
      <c r="A119">
        <v>118</v>
      </c>
      <c r="B119" t="s">
        <v>141</v>
      </c>
      <c r="C119">
        <v>1</v>
      </c>
      <c r="D119">
        <v>-1</v>
      </c>
      <c r="E119">
        <v>1</v>
      </c>
      <c r="F119">
        <v>-1</v>
      </c>
      <c r="G119">
        <v>1</v>
      </c>
      <c r="H119">
        <v>1</v>
      </c>
      <c r="I119">
        <v>1</v>
      </c>
      <c r="J119">
        <v>38209591.860322542</v>
      </c>
      <c r="K119">
        <f t="shared" ref="K119:Q119" si="121">J109-J108</f>
        <v>-11872486.572929086</v>
      </c>
      <c r="L119">
        <f t="shared" si="121"/>
        <v>33544358.634739485</v>
      </c>
      <c r="M119">
        <f t="shared" si="121"/>
        <v>5344704.5232936032</v>
      </c>
      <c r="N119">
        <f t="shared" si="121"/>
        <v>-395.20045514404774</v>
      </c>
      <c r="O119">
        <f t="shared" si="121"/>
        <v>-2445.9631510525942</v>
      </c>
      <c r="P119">
        <f t="shared" si="121"/>
        <v>-3693.7783577442169</v>
      </c>
      <c r="Q119">
        <f t="shared" si="121"/>
        <v>6172.1751887872815</v>
      </c>
      <c r="R119">
        <f t="shared" si="101"/>
        <v>96.440237324801274</v>
      </c>
    </row>
    <row r="120" spans="1:18" x14ac:dyDescent="0.25">
      <c r="A120">
        <v>119</v>
      </c>
      <c r="B120" t="s">
        <v>142</v>
      </c>
      <c r="C120">
        <v>-1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16662038.28859519</v>
      </c>
      <c r="K120">
        <f t="shared" ref="K120:Q120" si="122">J111-J110</f>
        <v>-45510407.639084861</v>
      </c>
      <c r="L120">
        <f t="shared" si="122"/>
        <v>28217633.029153697</v>
      </c>
      <c r="M120">
        <f t="shared" si="122"/>
        <v>5334846.8792823404</v>
      </c>
      <c r="N120">
        <f t="shared" si="122"/>
        <v>2653.8602347970009</v>
      </c>
      <c r="O120">
        <f t="shared" si="122"/>
        <v>-209.27658742666245</v>
      </c>
      <c r="P120">
        <f t="shared" si="122"/>
        <v>-19073.606683090329</v>
      </c>
      <c r="Q120">
        <f t="shared" si="122"/>
        <v>-21133.683842003345</v>
      </c>
      <c r="R120">
        <f t="shared" si="101"/>
        <v>-330.21381003130227</v>
      </c>
    </row>
    <row r="121" spans="1:18" x14ac:dyDescent="0.25">
      <c r="A121">
        <v>120</v>
      </c>
      <c r="B121" t="s">
        <v>143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1</v>
      </c>
      <c r="J121">
        <v>4692626.1054952871</v>
      </c>
      <c r="K121">
        <f t="shared" ref="K121:Q121" si="123">J113-J112</f>
        <v>-11963673.618251856</v>
      </c>
      <c r="L121">
        <f t="shared" si="123"/>
        <v>33540323.272378445</v>
      </c>
      <c r="M121">
        <f t="shared" si="123"/>
        <v>5355845.8557297327</v>
      </c>
      <c r="N121">
        <f t="shared" si="123"/>
        <v>963.87577587366104</v>
      </c>
      <c r="O121">
        <f t="shared" si="123"/>
        <v>3617.4539985433221</v>
      </c>
      <c r="P121">
        <f t="shared" si="123"/>
        <v>1129.2976561412215</v>
      </c>
      <c r="Q121">
        <f t="shared" si="123"/>
        <v>-14639.397420197725</v>
      </c>
      <c r="R121">
        <f t="shared" si="101"/>
        <v>-228.74058469058946</v>
      </c>
    </row>
    <row r="122" spans="1:18" x14ac:dyDescent="0.25">
      <c r="A122">
        <v>121</v>
      </c>
      <c r="B122" t="s">
        <v>144</v>
      </c>
      <c r="C122">
        <v>-1</v>
      </c>
      <c r="D122">
        <v>-1</v>
      </c>
      <c r="E122">
        <v>-1</v>
      </c>
      <c r="F122">
        <v>1</v>
      </c>
      <c r="G122">
        <v>1</v>
      </c>
      <c r="H122">
        <v>1</v>
      </c>
      <c r="I122">
        <v>1</v>
      </c>
      <c r="J122">
        <v>84176697.49337928</v>
      </c>
      <c r="K122">
        <f t="shared" ref="K122:Q122" si="124">J115-J114</f>
        <v>-40095311.736553967</v>
      </c>
      <c r="L122">
        <f t="shared" si="124"/>
        <v>28222816.669180576</v>
      </c>
      <c r="M122">
        <f t="shared" si="124"/>
        <v>5322954.9731218964</v>
      </c>
      <c r="N122">
        <f t="shared" si="124"/>
        <v>18357.671039771289</v>
      </c>
      <c r="O122">
        <f t="shared" si="124"/>
        <v>-2043.5664622038603</v>
      </c>
      <c r="P122">
        <f t="shared" si="124"/>
        <v>2728.744733184576</v>
      </c>
      <c r="Q122">
        <f t="shared" si="124"/>
        <v>-12793.301961362362</v>
      </c>
      <c r="R122">
        <f t="shared" si="101"/>
        <v>-199.8953431462869</v>
      </c>
    </row>
    <row r="123" spans="1:18" x14ac:dyDescent="0.25">
      <c r="A123">
        <v>122</v>
      </c>
      <c r="B123" t="s">
        <v>145</v>
      </c>
      <c r="C123">
        <v>1</v>
      </c>
      <c r="D123">
        <v>-1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44083400.981725462</v>
      </c>
      <c r="K123">
        <f t="shared" ref="K123:Q123" si="125">J117-J116</f>
        <v>-11873052.881908428</v>
      </c>
      <c r="L123">
        <f t="shared" si="125"/>
        <v>33545601.793150604</v>
      </c>
      <c r="M123">
        <f t="shared" si="125"/>
        <v>5320693.8026116528</v>
      </c>
      <c r="N123">
        <f t="shared" si="125"/>
        <v>16553.301960781217</v>
      </c>
      <c r="O123">
        <f t="shared" si="125"/>
        <v>10731.30254997313</v>
      </c>
      <c r="P123">
        <f t="shared" si="125"/>
        <v>3836.5378131568432</v>
      </c>
      <c r="Q123">
        <f t="shared" si="125"/>
        <v>-2444.3762270063162</v>
      </c>
      <c r="R123">
        <f t="shared" si="101"/>
        <v>-38.19337854697369</v>
      </c>
    </row>
    <row r="124" spans="1:18" x14ac:dyDescent="0.25">
      <c r="A124">
        <v>123</v>
      </c>
      <c r="B124" t="s">
        <v>146</v>
      </c>
      <c r="C124">
        <v>-1</v>
      </c>
      <c r="D124">
        <v>1</v>
      </c>
      <c r="E124">
        <v>-1</v>
      </c>
      <c r="F124">
        <v>1</v>
      </c>
      <c r="G124">
        <v>1</v>
      </c>
      <c r="H124">
        <v>1</v>
      </c>
      <c r="I124">
        <v>1</v>
      </c>
      <c r="J124">
        <v>18761912.572442461</v>
      </c>
      <c r="K124">
        <f t="shared" ref="K124:Q124" si="126">J119-J118</f>
        <v>-45511972.48532889</v>
      </c>
      <c r="L124">
        <f t="shared" si="126"/>
        <v>28223153.248924002</v>
      </c>
      <c r="M124">
        <f t="shared" si="126"/>
        <v>5323359.3344468698</v>
      </c>
      <c r="N124">
        <f t="shared" si="126"/>
        <v>9931.8737530894578</v>
      </c>
      <c r="O124">
        <f t="shared" si="126"/>
        <v>-2808.3177873790264</v>
      </c>
      <c r="P124">
        <f t="shared" si="126"/>
        <v>3336.8562350720167</v>
      </c>
      <c r="Q124">
        <f t="shared" si="126"/>
        <v>9808.2007650136948</v>
      </c>
      <c r="R124">
        <f t="shared" si="101"/>
        <v>153.25313695333898</v>
      </c>
    </row>
    <row r="125" spans="1:18" x14ac:dyDescent="0.25">
      <c r="A125">
        <v>124</v>
      </c>
      <c r="B125" t="s">
        <v>147</v>
      </c>
      <c r="C125">
        <v>1</v>
      </c>
      <c r="D125">
        <v>1</v>
      </c>
      <c r="E125">
        <v>-1</v>
      </c>
      <c r="F125">
        <v>1</v>
      </c>
      <c r="G125">
        <v>1</v>
      </c>
      <c r="H125">
        <v>1</v>
      </c>
      <c r="I125">
        <v>1</v>
      </c>
      <c r="J125">
        <v>6888363.6483222321</v>
      </c>
      <c r="K125">
        <f t="shared" ref="K125:Q125" si="127">J121-J120</f>
        <v>-11969412.183099903</v>
      </c>
      <c r="L125">
        <f t="shared" si="127"/>
        <v>33546734.020833004</v>
      </c>
      <c r="M125">
        <f t="shared" si="127"/>
        <v>5322690.2432247475</v>
      </c>
      <c r="N125">
        <f t="shared" si="127"/>
        <v>20998.976447392255</v>
      </c>
      <c r="O125">
        <f t="shared" si="127"/>
        <v>-1689.9844589233398</v>
      </c>
      <c r="P125">
        <f t="shared" si="127"/>
        <v>3826.7305859699845</v>
      </c>
      <c r="Q125">
        <f t="shared" si="127"/>
        <v>20202.904339231551</v>
      </c>
      <c r="R125">
        <f t="shared" si="101"/>
        <v>315.67038030049298</v>
      </c>
    </row>
    <row r="126" spans="1:18" x14ac:dyDescent="0.25">
      <c r="A126">
        <v>125</v>
      </c>
      <c r="B126" t="s">
        <v>148</v>
      </c>
      <c r="C126">
        <v>-1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83710599.853810489</v>
      </c>
      <c r="K126">
        <f t="shared" ref="K126:Q126" si="128">J123-J122</f>
        <v>-40093296.511653818</v>
      </c>
      <c r="L126">
        <f t="shared" si="128"/>
        <v>28222258.854645539</v>
      </c>
      <c r="M126">
        <f t="shared" si="128"/>
        <v>5322785.123970028</v>
      </c>
      <c r="N126">
        <f t="shared" si="128"/>
        <v>-2261.1705102436244</v>
      </c>
      <c r="O126">
        <f t="shared" si="128"/>
        <v>-1804.369078990072</v>
      </c>
      <c r="P126">
        <f t="shared" si="128"/>
        <v>12774.869012176991</v>
      </c>
      <c r="Q126">
        <f t="shared" si="128"/>
        <v>1107.7930799722672</v>
      </c>
      <c r="R126">
        <f t="shared" si="101"/>
        <v>17.309266874566674</v>
      </c>
    </row>
    <row r="127" spans="1:18" x14ac:dyDescent="0.25">
      <c r="A127">
        <v>126</v>
      </c>
      <c r="B127" t="s">
        <v>149</v>
      </c>
      <c r="C127">
        <v>1</v>
      </c>
      <c r="D127">
        <v>-1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38203188.888545923</v>
      </c>
      <c r="K127">
        <f t="shared" ref="K127:Q127" si="129">J125-J124</f>
        <v>-11873548.924120229</v>
      </c>
      <c r="L127">
        <f t="shared" si="129"/>
        <v>33542560.302228987</v>
      </c>
      <c r="M127">
        <f t="shared" si="129"/>
        <v>5323580.7719090022</v>
      </c>
      <c r="N127">
        <f t="shared" si="129"/>
        <v>-669.09122212231159</v>
      </c>
      <c r="O127">
        <f t="shared" si="129"/>
        <v>11067.102694302797</v>
      </c>
      <c r="P127">
        <f t="shared" si="129"/>
        <v>1118.3333284556866</v>
      </c>
      <c r="Q127">
        <f t="shared" si="129"/>
        <v>489.87435089796782</v>
      </c>
      <c r="R127">
        <f t="shared" si="101"/>
        <v>7.6542867327807471</v>
      </c>
    </row>
    <row r="128" spans="1:18" x14ac:dyDescent="0.25">
      <c r="A128">
        <v>127</v>
      </c>
      <c r="B128" t="s">
        <v>150</v>
      </c>
      <c r="C128">
        <v>-1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16653545.78566446</v>
      </c>
      <c r="K128">
        <f t="shared" ref="K128:Q128" si="130">J127-J126</f>
        <v>-45507410.965264566</v>
      </c>
      <c r="L128">
        <f t="shared" si="130"/>
        <v>28219747.587533589</v>
      </c>
      <c r="M128">
        <f t="shared" si="130"/>
        <v>5320301.4475834481</v>
      </c>
      <c r="N128">
        <f t="shared" si="130"/>
        <v>795.64793897420168</v>
      </c>
      <c r="O128">
        <f t="shared" si="130"/>
        <v>1592.0792881213129</v>
      </c>
      <c r="P128">
        <f t="shared" si="130"/>
        <v>12871.471773292869</v>
      </c>
      <c r="Q128">
        <f t="shared" si="130"/>
        <v>-11656.535683721304</v>
      </c>
      <c r="R128">
        <f t="shared" si="101"/>
        <v>-182.13337005814537</v>
      </c>
    </row>
    <row r="129" spans="1:18" x14ac:dyDescent="0.25">
      <c r="A129">
        <v>128</v>
      </c>
      <c r="B129" t="s">
        <v>151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4689442.3446975872</v>
      </c>
      <c r="K129">
        <f t="shared" ref="K129:Q129" si="131">J129-J128</f>
        <v>-11964103.440966872</v>
      </c>
      <c r="L129">
        <f t="shared" si="131"/>
        <v>33543307.524297692</v>
      </c>
      <c r="M129">
        <f t="shared" si="131"/>
        <v>5323559.9367641024</v>
      </c>
      <c r="N129">
        <f t="shared" si="131"/>
        <v>3258.4891806542873</v>
      </c>
      <c r="O129">
        <f t="shared" si="131"/>
        <v>2462.8412416800857</v>
      </c>
      <c r="P129">
        <f t="shared" si="131"/>
        <v>870.7619535587728</v>
      </c>
      <c r="Q129">
        <f t="shared" si="131"/>
        <v>-12000.709819734097</v>
      </c>
      <c r="R129">
        <f t="shared" si="101"/>
        <v>-187.51109093334526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29"/>
  <sheetViews>
    <sheetView workbookViewId="0"/>
  </sheetViews>
  <sheetFormatPr baseColWidth="10" defaultColWidth="9.140625" defaultRowHeight="15" x14ac:dyDescent="0.25"/>
  <sheetData>
    <row r="1" spans="1:18" x14ac:dyDescent="0.25">
      <c r="A1" t="s">
        <v>202</v>
      </c>
      <c r="B1" t="s">
        <v>203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</row>
    <row r="2" spans="1:18" x14ac:dyDescent="0.25">
      <c r="A2">
        <v>1</v>
      </c>
      <c r="B2" t="s">
        <v>24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1213230.612327972</v>
      </c>
      <c r="K2">
        <f t="shared" ref="K2:Q2" si="0">J2+J3</f>
        <v>21751065.755654801</v>
      </c>
      <c r="L2">
        <f t="shared" si="0"/>
        <v>140156429.46811524</v>
      </c>
      <c r="M2">
        <f t="shared" si="0"/>
        <v>267498488.23213252</v>
      </c>
      <c r="N2">
        <f t="shared" si="0"/>
        <v>532188698.02925563</v>
      </c>
      <c r="O2">
        <f t="shared" si="0"/>
        <v>1065907710.0939384</v>
      </c>
      <c r="P2">
        <f t="shared" si="0"/>
        <v>2126769420.2165155</v>
      </c>
      <c r="Q2">
        <f t="shared" si="0"/>
        <v>4260024175.0886908</v>
      </c>
      <c r="R2">
        <f>Q2/128</f>
        <v>33281438.867880397</v>
      </c>
    </row>
    <row r="3" spans="1:18" x14ac:dyDescent="0.25">
      <c r="A3">
        <v>2</v>
      </c>
      <c r="B3" t="s">
        <v>25</v>
      </c>
      <c r="C3">
        <v>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20537835.14332683</v>
      </c>
      <c r="K3">
        <f t="shared" ref="K3:Q3" si="1">J4+J5</f>
        <v>118405363.71246044</v>
      </c>
      <c r="L3">
        <f t="shared" si="1"/>
        <v>127342058.76401728</v>
      </c>
      <c r="M3">
        <f t="shared" si="1"/>
        <v>264690209.79712313</v>
      </c>
      <c r="N3">
        <f t="shared" si="1"/>
        <v>533719012.06468272</v>
      </c>
      <c r="O3">
        <f t="shared" si="1"/>
        <v>1060861710.1225773</v>
      </c>
      <c r="P3">
        <f t="shared" si="1"/>
        <v>2133254754.8721752</v>
      </c>
      <c r="Q3">
        <f t="shared" si="1"/>
        <v>2051229078.8745944</v>
      </c>
      <c r="R3">
        <f t="shared" ref="R3:R34" si="2">Q3/64</f>
        <v>32050454.357415538</v>
      </c>
    </row>
    <row r="4" spans="1:18" x14ac:dyDescent="0.25">
      <c r="A4">
        <v>3</v>
      </c>
      <c r="B4" t="s">
        <v>26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35074587.236641452</v>
      </c>
      <c r="K4">
        <f t="shared" ref="K4:Q4" si="3">J6+J7</f>
        <v>14061719.403739071</v>
      </c>
      <c r="L4">
        <f t="shared" si="3"/>
        <v>138570262.45617911</v>
      </c>
      <c r="M4">
        <f t="shared" si="3"/>
        <v>268035259.52991578</v>
      </c>
      <c r="N4">
        <f t="shared" si="3"/>
        <v>529339187.00822604</v>
      </c>
      <c r="O4">
        <f t="shared" si="3"/>
        <v>1068501544.6426936</v>
      </c>
      <c r="P4">
        <f t="shared" si="3"/>
        <v>1025370853.9820035</v>
      </c>
      <c r="Q4">
        <f t="shared" si="3"/>
        <v>3117382135.8686786</v>
      </c>
      <c r="R4">
        <f t="shared" si="2"/>
        <v>48709095.872948103</v>
      </c>
    </row>
    <row r="5" spans="1:18" x14ac:dyDescent="0.25">
      <c r="A5">
        <v>4</v>
      </c>
      <c r="B5" t="s">
        <v>27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83330776.475818992</v>
      </c>
      <c r="K5">
        <f t="shared" ref="K5:Q5" si="4">J8+J9</f>
        <v>113280339.36027822</v>
      </c>
      <c r="L5">
        <f t="shared" si="4"/>
        <v>126119947.34094401</v>
      </c>
      <c r="M5">
        <f t="shared" si="4"/>
        <v>265683752.53476697</v>
      </c>
      <c r="N5">
        <f t="shared" si="4"/>
        <v>531522523.11435127</v>
      </c>
      <c r="O5">
        <f t="shared" si="4"/>
        <v>1064753210.2294815</v>
      </c>
      <c r="P5">
        <f t="shared" si="4"/>
        <v>1025858224.892591</v>
      </c>
      <c r="Q5">
        <f t="shared" si="4"/>
        <v>1027225087.3891705</v>
      </c>
      <c r="R5">
        <f t="shared" si="2"/>
        <v>16050391.990455789</v>
      </c>
    </row>
    <row r="6" spans="1:18" x14ac:dyDescent="0.25">
      <c r="A6">
        <v>5</v>
      </c>
      <c r="B6" t="s">
        <v>28</v>
      </c>
      <c r="C6">
        <v>-1</v>
      </c>
      <c r="D6">
        <v>-1</v>
      </c>
      <c r="E6">
        <v>1</v>
      </c>
      <c r="F6">
        <v>-1</v>
      </c>
      <c r="G6">
        <v>-1</v>
      </c>
      <c r="H6">
        <v>-1</v>
      </c>
      <c r="I6">
        <v>-1</v>
      </c>
      <c r="J6">
        <v>667081.72362920945</v>
      </c>
      <c r="K6">
        <f t="shared" ref="K6:Q6" si="5">J10+J11</f>
        <v>21452910.545447398</v>
      </c>
      <c r="L6">
        <f t="shared" si="5"/>
        <v>140502780.72975492</v>
      </c>
      <c r="M6">
        <f t="shared" si="5"/>
        <v>266475026.18672395</v>
      </c>
      <c r="N6">
        <f t="shared" si="5"/>
        <v>533685236.63864172</v>
      </c>
      <c r="O6">
        <f t="shared" si="5"/>
        <v>513090064.56771755</v>
      </c>
      <c r="P6">
        <f t="shared" si="5"/>
        <v>1556747256.1523199</v>
      </c>
      <c r="Q6">
        <f t="shared" si="5"/>
        <v>-204164562.21307471</v>
      </c>
      <c r="R6">
        <f t="shared" si="2"/>
        <v>-3190071.2845792924</v>
      </c>
    </row>
    <row r="7" spans="1:18" x14ac:dyDescent="0.25">
      <c r="A7">
        <v>6</v>
      </c>
      <c r="B7" t="s">
        <v>29</v>
      </c>
      <c r="C7">
        <v>1</v>
      </c>
      <c r="D7">
        <v>-1</v>
      </c>
      <c r="E7">
        <v>1</v>
      </c>
      <c r="F7">
        <v>-1</v>
      </c>
      <c r="G7">
        <v>-1</v>
      </c>
      <c r="H7">
        <v>-1</v>
      </c>
      <c r="I7">
        <v>-1</v>
      </c>
      <c r="J7">
        <v>13394637.68010986</v>
      </c>
      <c r="K7">
        <f t="shared" ref="K7:Q7" si="6">J12+J13</f>
        <v>117117351.91073172</v>
      </c>
      <c r="L7">
        <f t="shared" si="6"/>
        <v>127532478.80016086</v>
      </c>
      <c r="M7">
        <f t="shared" si="6"/>
        <v>262864160.82150212</v>
      </c>
      <c r="N7">
        <f t="shared" si="6"/>
        <v>534816308.00405192</v>
      </c>
      <c r="O7">
        <f t="shared" si="6"/>
        <v>512280789.41428596</v>
      </c>
      <c r="P7">
        <f t="shared" si="6"/>
        <v>1560634879.7163587</v>
      </c>
      <c r="Q7">
        <f t="shared" si="6"/>
        <v>-107588148.65089382</v>
      </c>
      <c r="R7">
        <f t="shared" si="2"/>
        <v>-1681064.822670216</v>
      </c>
    </row>
    <row r="8" spans="1:18" x14ac:dyDescent="0.25">
      <c r="A8">
        <v>7</v>
      </c>
      <c r="B8" t="s">
        <v>30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32567617.697585769</v>
      </c>
      <c r="K8">
        <f t="shared" ref="K8:Q8" si="7">J14+J15</f>
        <v>13926290.276754716</v>
      </c>
      <c r="L8">
        <f t="shared" si="7"/>
        <v>139213980.93257806</v>
      </c>
      <c r="M8">
        <f t="shared" si="7"/>
        <v>267240258.8994461</v>
      </c>
      <c r="N8">
        <f t="shared" si="7"/>
        <v>531542180.12980503</v>
      </c>
      <c r="O8">
        <f t="shared" si="7"/>
        <v>513374899.13838947</v>
      </c>
      <c r="P8">
        <f t="shared" si="7"/>
        <v>514152599.06996131</v>
      </c>
      <c r="Q8">
        <f t="shared" si="7"/>
        <v>41362258.887976795</v>
      </c>
      <c r="R8">
        <f t="shared" si="2"/>
        <v>646285.29512463743</v>
      </c>
    </row>
    <row r="9" spans="1:18" x14ac:dyDescent="0.25">
      <c r="A9">
        <v>8</v>
      </c>
      <c r="B9" t="s">
        <v>31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-1</v>
      </c>
      <c r="J9">
        <v>80712721.662692457</v>
      </c>
      <c r="K9">
        <f t="shared" ref="K9:Q9" si="8">J16+J17</f>
        <v>112193657.06418929</v>
      </c>
      <c r="L9">
        <f t="shared" si="8"/>
        <v>126469771.60218893</v>
      </c>
      <c r="M9">
        <f t="shared" si="8"/>
        <v>264282264.21490514</v>
      </c>
      <c r="N9">
        <f t="shared" si="8"/>
        <v>533211030.09967649</v>
      </c>
      <c r="O9">
        <f t="shared" si="8"/>
        <v>512483325.75420153</v>
      </c>
      <c r="P9">
        <f t="shared" si="8"/>
        <v>513072488.31920922</v>
      </c>
      <c r="Q9">
        <f t="shared" si="8"/>
        <v>103502819.08060044</v>
      </c>
      <c r="R9">
        <f t="shared" si="2"/>
        <v>1617231.5481343819</v>
      </c>
    </row>
    <row r="10" spans="1:18" x14ac:dyDescent="0.25">
      <c r="A10">
        <v>9</v>
      </c>
      <c r="B10" t="s">
        <v>32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1173944.972300167</v>
      </c>
      <c r="K10">
        <f t="shared" ref="K10:Q10" si="9">J18+J19</f>
        <v>21897850.91902392</v>
      </c>
      <c r="L10">
        <f t="shared" si="9"/>
        <v>139579780.31816947</v>
      </c>
      <c r="M10">
        <f t="shared" si="9"/>
        <v>267973227.93904519</v>
      </c>
      <c r="N10">
        <f t="shared" si="9"/>
        <v>256163227.49235538</v>
      </c>
      <c r="O10">
        <f t="shared" si="9"/>
        <v>779987033.84840012</v>
      </c>
      <c r="P10">
        <f t="shared" si="9"/>
        <v>-101369714.19523776</v>
      </c>
      <c r="Q10">
        <f t="shared" si="9"/>
        <v>-21347845.422586948</v>
      </c>
      <c r="R10">
        <f t="shared" si="2"/>
        <v>-333560.08472792106</v>
      </c>
    </row>
    <row r="11" spans="1:18" x14ac:dyDescent="0.25">
      <c r="A11">
        <v>10</v>
      </c>
      <c r="B11" t="s">
        <v>33</v>
      </c>
      <c r="C11">
        <v>1</v>
      </c>
      <c r="D11">
        <v>-1</v>
      </c>
      <c r="E11">
        <v>-1</v>
      </c>
      <c r="F11">
        <v>1</v>
      </c>
      <c r="G11">
        <v>-1</v>
      </c>
      <c r="H11">
        <v>-1</v>
      </c>
      <c r="I11">
        <v>-1</v>
      </c>
      <c r="J11">
        <v>20278965.57314723</v>
      </c>
      <c r="K11">
        <f t="shared" ref="K11:Q11" si="10">J20+J21</f>
        <v>118604929.81073099</v>
      </c>
      <c r="L11">
        <f t="shared" si="10"/>
        <v>126895245.86855449</v>
      </c>
      <c r="M11">
        <f t="shared" si="10"/>
        <v>265712008.69959652</v>
      </c>
      <c r="N11">
        <f t="shared" si="10"/>
        <v>256926837.07536221</v>
      </c>
      <c r="O11">
        <f t="shared" si="10"/>
        <v>776760222.30391979</v>
      </c>
      <c r="P11">
        <f t="shared" si="10"/>
        <v>-102794848.01783696</v>
      </c>
      <c r="Q11">
        <f t="shared" si="10"/>
        <v>-5340544.5561649352</v>
      </c>
      <c r="R11">
        <f t="shared" si="2"/>
        <v>-83446.008690077113</v>
      </c>
    </row>
    <row r="12" spans="1:18" x14ac:dyDescent="0.25">
      <c r="A12">
        <v>11</v>
      </c>
      <c r="B12" t="s">
        <v>34</v>
      </c>
      <c r="C12">
        <v>-1</v>
      </c>
      <c r="D12">
        <v>1</v>
      </c>
      <c r="E12">
        <v>-1</v>
      </c>
      <c r="F12">
        <v>1</v>
      </c>
      <c r="G12">
        <v>-1</v>
      </c>
      <c r="H12">
        <v>-1</v>
      </c>
      <c r="I12">
        <v>-1</v>
      </c>
      <c r="J12">
        <v>34541360.514346942</v>
      </c>
      <c r="K12">
        <f t="shared" ref="K12:Q12" si="11">J22+J23</f>
        <v>14113831.038185392</v>
      </c>
      <c r="L12">
        <f t="shared" si="11"/>
        <v>137528944.91682294</v>
      </c>
      <c r="M12">
        <f t="shared" si="11"/>
        <v>268372803.75120574</v>
      </c>
      <c r="N12">
        <f t="shared" si="11"/>
        <v>255593577.16747987</v>
      </c>
      <c r="O12">
        <f t="shared" si="11"/>
        <v>781805194.87101972</v>
      </c>
      <c r="P12">
        <f t="shared" si="11"/>
        <v>-53430374.414740935</v>
      </c>
      <c r="Q12">
        <f t="shared" si="11"/>
        <v>-15492741.014162689</v>
      </c>
      <c r="R12">
        <f t="shared" si="2"/>
        <v>-242074.07834629202</v>
      </c>
    </row>
    <row r="13" spans="1:18" x14ac:dyDescent="0.25">
      <c r="A13">
        <v>12</v>
      </c>
      <c r="B13" t="s">
        <v>35</v>
      </c>
      <c r="C13">
        <v>1</v>
      </c>
      <c r="D13">
        <v>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82575991.396384776</v>
      </c>
      <c r="K13">
        <f t="shared" ref="K13:Q13" si="12">J24+J25</f>
        <v>113418647.76197547</v>
      </c>
      <c r="L13">
        <f t="shared" si="12"/>
        <v>125335215.90467918</v>
      </c>
      <c r="M13">
        <f t="shared" si="12"/>
        <v>266443504.25284618</v>
      </c>
      <c r="N13">
        <f t="shared" si="12"/>
        <v>256687212.24680609</v>
      </c>
      <c r="O13">
        <f t="shared" si="12"/>
        <v>778829684.84533882</v>
      </c>
      <c r="P13">
        <f t="shared" si="12"/>
        <v>-54157774.236152887</v>
      </c>
      <c r="Q13">
        <f t="shared" si="12"/>
        <v>-1216377.4589882344</v>
      </c>
      <c r="R13">
        <f t="shared" si="2"/>
        <v>-19005.897796691163</v>
      </c>
    </row>
    <row r="14" spans="1:18" x14ac:dyDescent="0.25">
      <c r="A14">
        <v>13</v>
      </c>
      <c r="B14" t="s">
        <v>36</v>
      </c>
      <c r="C14">
        <v>-1</v>
      </c>
      <c r="D14">
        <v>-1</v>
      </c>
      <c r="E14">
        <v>1</v>
      </c>
      <c r="F14">
        <v>1</v>
      </c>
      <c r="G14">
        <v>-1</v>
      </c>
      <c r="H14">
        <v>-1</v>
      </c>
      <c r="I14">
        <v>-1</v>
      </c>
      <c r="J14">
        <v>651005.87978229695</v>
      </c>
      <c r="K14">
        <f t="shared" ref="K14:Q14" si="13">J26+J27</f>
        <v>21730854.937360574</v>
      </c>
      <c r="L14">
        <f t="shared" si="13"/>
        <v>140069395.58375159</v>
      </c>
      <c r="M14">
        <f t="shared" si="13"/>
        <v>267251804.39840975</v>
      </c>
      <c r="N14">
        <f t="shared" si="13"/>
        <v>256399732.0426417</v>
      </c>
      <c r="O14">
        <f t="shared" si="13"/>
        <v>256940054.26097909</v>
      </c>
      <c r="P14">
        <f t="shared" si="13"/>
        <v>20935256.968649238</v>
      </c>
      <c r="Q14">
        <f t="shared" si="13"/>
        <v>2279986.9384683371</v>
      </c>
      <c r="R14">
        <f t="shared" si="2"/>
        <v>35624.795913567767</v>
      </c>
    </row>
    <row r="15" spans="1:18" x14ac:dyDescent="0.25">
      <c r="A15">
        <v>14</v>
      </c>
      <c r="B15" t="s">
        <v>37</v>
      </c>
      <c r="C15">
        <v>1</v>
      </c>
      <c r="D15">
        <v>-1</v>
      </c>
      <c r="E15">
        <v>1</v>
      </c>
      <c r="F15">
        <v>1</v>
      </c>
      <c r="G15">
        <v>-1</v>
      </c>
      <c r="H15">
        <v>-1</v>
      </c>
      <c r="I15">
        <v>-1</v>
      </c>
      <c r="J15">
        <v>13275284.39697242</v>
      </c>
      <c r="K15">
        <f t="shared" ref="K15:Q15" si="14">J28+J29</f>
        <v>117483125.99521749</v>
      </c>
      <c r="L15">
        <f t="shared" si="14"/>
        <v>127170863.31569451</v>
      </c>
      <c r="M15">
        <f t="shared" si="14"/>
        <v>264290375.73139527</v>
      </c>
      <c r="N15">
        <f t="shared" si="14"/>
        <v>256975167.09574777</v>
      </c>
      <c r="O15">
        <f t="shared" si="14"/>
        <v>257212544.80898219</v>
      </c>
      <c r="P15">
        <f t="shared" si="14"/>
        <v>20427001.919327557</v>
      </c>
      <c r="Q15">
        <f t="shared" si="14"/>
        <v>731750.41383875906</v>
      </c>
      <c r="R15">
        <f t="shared" si="2"/>
        <v>11433.60021623061</v>
      </c>
    </row>
    <row r="16" spans="1:18" x14ac:dyDescent="0.25">
      <c r="A16">
        <v>15</v>
      </c>
      <c r="B16" t="s">
        <v>38</v>
      </c>
      <c r="C16">
        <v>-1</v>
      </c>
      <c r="D16">
        <v>1</v>
      </c>
      <c r="E16">
        <v>1</v>
      </c>
      <c r="F16">
        <v>1</v>
      </c>
      <c r="G16">
        <v>-1</v>
      </c>
      <c r="H16">
        <v>-1</v>
      </c>
      <c r="I16">
        <v>-1</v>
      </c>
      <c r="J16">
        <v>32123906.631836329</v>
      </c>
      <c r="K16">
        <f t="shared" ref="K16:Q16" si="15">J30+J31</f>
        <v>14025815.246603262</v>
      </c>
      <c r="L16">
        <f t="shared" si="15"/>
        <v>138447992.8005054</v>
      </c>
      <c r="M16">
        <f t="shared" si="15"/>
        <v>267839141.31875989</v>
      </c>
      <c r="N16">
        <f t="shared" si="15"/>
        <v>255806509.99270231</v>
      </c>
      <c r="O16">
        <f t="shared" si="15"/>
        <v>256692723.55216438</v>
      </c>
      <c r="P16">
        <f t="shared" si="15"/>
        <v>51819085.356558777</v>
      </c>
      <c r="Q16">
        <f t="shared" si="15"/>
        <v>276400.0033146143</v>
      </c>
      <c r="R16">
        <f t="shared" si="2"/>
        <v>4318.7500517908484</v>
      </c>
    </row>
    <row r="17" spans="1:18" x14ac:dyDescent="0.25">
      <c r="A17">
        <v>16</v>
      </c>
      <c r="B17" t="s">
        <v>39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80069750.43235296</v>
      </c>
      <c r="K17">
        <f t="shared" ref="K17:Q17" si="16">J32+J33</f>
        <v>112443956.35558566</v>
      </c>
      <c r="L17">
        <f t="shared" si="16"/>
        <v>125834271.41439973</v>
      </c>
      <c r="M17">
        <f t="shared" si="16"/>
        <v>265371888.78091663</v>
      </c>
      <c r="N17">
        <f t="shared" si="16"/>
        <v>256676815.76149926</v>
      </c>
      <c r="O17">
        <f t="shared" si="16"/>
        <v>256379764.76704484</v>
      </c>
      <c r="P17">
        <f t="shared" si="16"/>
        <v>51683733.724041671</v>
      </c>
      <c r="Q17">
        <f t="shared" si="16"/>
        <v>-594339.25466634706</v>
      </c>
      <c r="R17">
        <f t="shared" si="2"/>
        <v>-9286.5508541616728</v>
      </c>
    </row>
    <row r="18" spans="1:18" x14ac:dyDescent="0.25">
      <c r="A18">
        <v>17</v>
      </c>
      <c r="B18" t="s">
        <v>40</v>
      </c>
      <c r="C18">
        <v>-1</v>
      </c>
      <c r="D18">
        <v>-1</v>
      </c>
      <c r="E18">
        <v>-1</v>
      </c>
      <c r="F18">
        <v>-1</v>
      </c>
      <c r="G18">
        <v>1</v>
      </c>
      <c r="H18">
        <v>-1</v>
      </c>
      <c r="I18">
        <v>-1</v>
      </c>
      <c r="J18">
        <v>1222105.0150293</v>
      </c>
      <c r="K18">
        <f t="shared" ref="K18:Q18" si="17">J34+J35</f>
        <v>21613333.566761687</v>
      </c>
      <c r="L18">
        <f t="shared" si="17"/>
        <v>140454112.62262273</v>
      </c>
      <c r="M18">
        <f t="shared" si="17"/>
        <v>128453453.69176373</v>
      </c>
      <c r="N18">
        <f t="shared" si="17"/>
        <v>389804726.0660637</v>
      </c>
      <c r="O18">
        <f t="shared" si="17"/>
        <v>-50979197.079316258</v>
      </c>
      <c r="P18">
        <f t="shared" si="17"/>
        <v>-11728645.479920983</v>
      </c>
      <c r="Q18">
        <f t="shared" si="17"/>
        <v>6513571.4768339992</v>
      </c>
      <c r="R18">
        <f t="shared" si="2"/>
        <v>101774.55432553124</v>
      </c>
    </row>
    <row r="19" spans="1:18" x14ac:dyDescent="0.25">
      <c r="A19">
        <v>18</v>
      </c>
      <c r="B19" t="s">
        <v>41</v>
      </c>
      <c r="C19">
        <v>1</v>
      </c>
      <c r="D19">
        <v>-1</v>
      </c>
      <c r="E19">
        <v>-1</v>
      </c>
      <c r="F19">
        <v>-1</v>
      </c>
      <c r="G19">
        <v>1</v>
      </c>
      <c r="H19">
        <v>-1</v>
      </c>
      <c r="I19">
        <v>-1</v>
      </c>
      <c r="J19">
        <v>20675745.90399462</v>
      </c>
      <c r="K19">
        <f t="shared" ref="K19:Q19" si="18">J36+J37</f>
        <v>117966446.7514078</v>
      </c>
      <c r="L19">
        <f t="shared" si="18"/>
        <v>127519115.31642246</v>
      </c>
      <c r="M19">
        <f t="shared" si="18"/>
        <v>127709773.80059165</v>
      </c>
      <c r="N19">
        <f t="shared" si="18"/>
        <v>390182307.78233647</v>
      </c>
      <c r="O19">
        <f t="shared" si="18"/>
        <v>-50390517.115921497</v>
      </c>
      <c r="P19">
        <f t="shared" si="18"/>
        <v>-9619199.9426659644</v>
      </c>
      <c r="Q19">
        <f t="shared" si="18"/>
        <v>3302985.4842360616</v>
      </c>
      <c r="R19">
        <f t="shared" si="2"/>
        <v>51609.148191188462</v>
      </c>
    </row>
    <row r="20" spans="1:18" x14ac:dyDescent="0.25">
      <c r="A20">
        <v>19</v>
      </c>
      <c r="B20" t="s">
        <v>42</v>
      </c>
      <c r="C20">
        <v>-1</v>
      </c>
      <c r="D20">
        <v>1</v>
      </c>
      <c r="E20">
        <v>-1</v>
      </c>
      <c r="F20">
        <v>-1</v>
      </c>
      <c r="G20">
        <v>1</v>
      </c>
      <c r="H20">
        <v>-1</v>
      </c>
      <c r="I20">
        <v>-1</v>
      </c>
      <c r="J20">
        <v>35148228.393926859</v>
      </c>
      <c r="K20">
        <f t="shared" ref="K20:Q20" si="19">J38+J39</f>
        <v>13987427.577522129</v>
      </c>
      <c r="L20">
        <f t="shared" si="19"/>
        <v>139199753.58886173</v>
      </c>
      <c r="M20">
        <f t="shared" si="19"/>
        <v>128721532.35548109</v>
      </c>
      <c r="N20">
        <f t="shared" si="19"/>
        <v>388195650.5815376</v>
      </c>
      <c r="O20">
        <f t="shared" si="19"/>
        <v>-51555359.007776797</v>
      </c>
      <c r="P20">
        <f t="shared" si="19"/>
        <v>-2748221.7227940261</v>
      </c>
      <c r="Q20">
        <f t="shared" si="19"/>
        <v>1575298.6862237453</v>
      </c>
      <c r="R20">
        <f t="shared" si="2"/>
        <v>24614.041972246021</v>
      </c>
    </row>
    <row r="21" spans="1:18" x14ac:dyDescent="0.25">
      <c r="A21">
        <v>20</v>
      </c>
      <c r="B21" t="s">
        <v>43</v>
      </c>
      <c r="C21">
        <v>1</v>
      </c>
      <c r="D21">
        <v>1</v>
      </c>
      <c r="E21">
        <v>-1</v>
      </c>
      <c r="F21">
        <v>-1</v>
      </c>
      <c r="G21">
        <v>1</v>
      </c>
      <c r="H21">
        <v>-1</v>
      </c>
      <c r="I21">
        <v>-1</v>
      </c>
      <c r="J21">
        <v>83456701.416804135</v>
      </c>
      <c r="K21">
        <f t="shared" ref="K21:Q21" si="20">J40+J41</f>
        <v>112907818.29103236</v>
      </c>
      <c r="L21">
        <f t="shared" si="20"/>
        <v>126512255.11073481</v>
      </c>
      <c r="M21">
        <f t="shared" si="20"/>
        <v>128205304.71988112</v>
      </c>
      <c r="N21">
        <f t="shared" si="20"/>
        <v>388564571.72238219</v>
      </c>
      <c r="O21">
        <f t="shared" si="20"/>
        <v>-51239489.010060161</v>
      </c>
      <c r="P21">
        <f t="shared" si="20"/>
        <v>-2592322.8333709091</v>
      </c>
      <c r="Q21">
        <f t="shared" si="20"/>
        <v>-1100778.0401656032</v>
      </c>
      <c r="R21">
        <f t="shared" si="2"/>
        <v>-17199.656877587549</v>
      </c>
    </row>
    <row r="22" spans="1:18" x14ac:dyDescent="0.25">
      <c r="A22">
        <v>21</v>
      </c>
      <c r="B22" t="s">
        <v>44</v>
      </c>
      <c r="C22">
        <v>-1</v>
      </c>
      <c r="D22">
        <v>-1</v>
      </c>
      <c r="E22">
        <v>1</v>
      </c>
      <c r="F22">
        <v>-1</v>
      </c>
      <c r="G22">
        <v>1</v>
      </c>
      <c r="H22">
        <v>-1</v>
      </c>
      <c r="I22">
        <v>-1</v>
      </c>
      <c r="J22">
        <v>669457.52012121154</v>
      </c>
      <c r="K22">
        <f t="shared" ref="K22:Q22" si="21">J42+J43</f>
        <v>21184352.758313194</v>
      </c>
      <c r="L22">
        <f t="shared" si="21"/>
        <v>140707759.06580842</v>
      </c>
      <c r="M22">
        <f t="shared" si="21"/>
        <v>128250143.87274823</v>
      </c>
      <c r="N22">
        <f t="shared" si="21"/>
        <v>390717831.56713772</v>
      </c>
      <c r="O22">
        <f t="shared" si="21"/>
        <v>-26832219.918376222</v>
      </c>
      <c r="P22">
        <f t="shared" si="21"/>
        <v>-8412177.5601348281</v>
      </c>
      <c r="Q22">
        <f t="shared" si="21"/>
        <v>-1832252.0183375478</v>
      </c>
      <c r="R22">
        <f t="shared" si="2"/>
        <v>-28628.937786524184</v>
      </c>
    </row>
    <row r="23" spans="1:18" x14ac:dyDescent="0.25">
      <c r="A23">
        <v>22</v>
      </c>
      <c r="B23" t="s">
        <v>45</v>
      </c>
      <c r="C23">
        <v>1</v>
      </c>
      <c r="D23">
        <v>-1</v>
      </c>
      <c r="E23">
        <v>1</v>
      </c>
      <c r="F23">
        <v>-1</v>
      </c>
      <c r="G23">
        <v>1</v>
      </c>
      <c r="H23">
        <v>-1</v>
      </c>
      <c r="I23">
        <v>-1</v>
      </c>
      <c r="J23">
        <v>13444373.51806418</v>
      </c>
      <c r="K23">
        <f t="shared" ref="K23:Q23" si="22">J44+J45</f>
        <v>116344592.15850975</v>
      </c>
      <c r="L23">
        <f t="shared" si="22"/>
        <v>127665044.68539733</v>
      </c>
      <c r="M23">
        <f t="shared" si="22"/>
        <v>127343433.29473165</v>
      </c>
      <c r="N23">
        <f t="shared" si="22"/>
        <v>391087363.303882</v>
      </c>
      <c r="O23">
        <f t="shared" si="22"/>
        <v>-26598154.496364713</v>
      </c>
      <c r="P23">
        <f t="shared" si="22"/>
        <v>-7080563.4540278614</v>
      </c>
      <c r="Q23">
        <f t="shared" si="22"/>
        <v>-1109527.134354502</v>
      </c>
      <c r="R23">
        <f t="shared" si="2"/>
        <v>-17336.361474289093</v>
      </c>
    </row>
    <row r="24" spans="1:18" x14ac:dyDescent="0.25">
      <c r="A24">
        <v>23</v>
      </c>
      <c r="B24" t="s">
        <v>46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32617072.65813997</v>
      </c>
      <c r="K24">
        <f t="shared" ref="K24:Q24" si="23">J46+J47</f>
        <v>13786654.31074723</v>
      </c>
      <c r="L24">
        <f t="shared" si="23"/>
        <v>139666826.54794234</v>
      </c>
      <c r="M24">
        <f t="shared" si="23"/>
        <v>128634407.93240574</v>
      </c>
      <c r="N24">
        <f t="shared" si="23"/>
        <v>389185210.37648839</v>
      </c>
      <c r="O24">
        <f t="shared" si="23"/>
        <v>-27116793.805134811</v>
      </c>
      <c r="P24">
        <f t="shared" si="23"/>
        <v>-453054.58459753543</v>
      </c>
      <c r="Q24">
        <f t="shared" si="23"/>
        <v>431504.10869914293</v>
      </c>
      <c r="R24">
        <f t="shared" si="2"/>
        <v>6742.2516984241083</v>
      </c>
    </row>
    <row r="25" spans="1:18" x14ac:dyDescent="0.25">
      <c r="A25">
        <v>24</v>
      </c>
      <c r="B25"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80801575.103835493</v>
      </c>
      <c r="K25">
        <f t="shared" ref="K25:Q25" si="24">J48+J49</f>
        <v>111548561.59393194</v>
      </c>
      <c r="L25">
        <f t="shared" si="24"/>
        <v>126776677.70490383</v>
      </c>
      <c r="M25">
        <f t="shared" si="24"/>
        <v>128052804.31440035</v>
      </c>
      <c r="N25">
        <f t="shared" si="24"/>
        <v>389644474.46885049</v>
      </c>
      <c r="O25">
        <f t="shared" si="24"/>
        <v>-27040980.431018077</v>
      </c>
      <c r="P25">
        <f t="shared" si="24"/>
        <v>-763322.87439069897</v>
      </c>
      <c r="Q25">
        <f t="shared" si="24"/>
        <v>835394.79314922914</v>
      </c>
      <c r="R25">
        <f t="shared" si="2"/>
        <v>13053.043642956705</v>
      </c>
    </row>
    <row r="26" spans="1:18" x14ac:dyDescent="0.25">
      <c r="A26">
        <v>25</v>
      </c>
      <c r="B26" t="s">
        <v>48</v>
      </c>
      <c r="C26">
        <v>-1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1190415.385211132</v>
      </c>
      <c r="K26">
        <f t="shared" ref="K26:Q26" si="25">J50+J51</f>
        <v>21835716.728218526</v>
      </c>
      <c r="L26">
        <f t="shared" si="25"/>
        <v>140055893.80021495</v>
      </c>
      <c r="M26">
        <f t="shared" si="25"/>
        <v>128531678.07194155</v>
      </c>
      <c r="N26">
        <f t="shared" si="25"/>
        <v>128600308.281322</v>
      </c>
      <c r="O26">
        <f t="shared" si="25"/>
        <v>10430855.30509223</v>
      </c>
      <c r="P26">
        <f t="shared" si="25"/>
        <v>1365764.5074904263</v>
      </c>
      <c r="Q26">
        <f t="shared" si="25"/>
        <v>1935737.9908017814</v>
      </c>
      <c r="R26">
        <f t="shared" si="2"/>
        <v>30245.906106277835</v>
      </c>
    </row>
    <row r="27" spans="1:18" x14ac:dyDescent="0.25">
      <c r="A27">
        <v>26</v>
      </c>
      <c r="B27" t="s">
        <v>49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20540439.552149441</v>
      </c>
      <c r="K27">
        <f t="shared" ref="K27:Q27" si="26">J52+J53</f>
        <v>118233678.85553306</v>
      </c>
      <c r="L27">
        <f t="shared" si="26"/>
        <v>127195910.59819481</v>
      </c>
      <c r="M27">
        <f t="shared" si="26"/>
        <v>127868053.97070014</v>
      </c>
      <c r="N27">
        <f t="shared" si="26"/>
        <v>128339745.97965708</v>
      </c>
      <c r="O27">
        <f t="shared" si="26"/>
        <v>10504401.663557008</v>
      </c>
      <c r="P27">
        <f t="shared" si="26"/>
        <v>914222.43097791076</v>
      </c>
      <c r="Q27">
        <f t="shared" si="26"/>
        <v>983456.17603732646</v>
      </c>
      <c r="R27">
        <f t="shared" si="2"/>
        <v>15366.502750583226</v>
      </c>
    </row>
    <row r="28" spans="1:18" x14ac:dyDescent="0.25">
      <c r="A28">
        <v>27</v>
      </c>
      <c r="B28" t="s">
        <v>50</v>
      </c>
      <c r="C28">
        <v>-1</v>
      </c>
      <c r="D28">
        <v>1</v>
      </c>
      <c r="E28">
        <v>-1</v>
      </c>
      <c r="F28">
        <v>1</v>
      </c>
      <c r="G28">
        <v>1</v>
      </c>
      <c r="H28">
        <v>-1</v>
      </c>
      <c r="I28">
        <v>-1</v>
      </c>
      <c r="J28">
        <v>34677283.542006388</v>
      </c>
      <c r="K28">
        <f t="shared" ref="K28:Q28" si="27">J54+J55</f>
        <v>14073713.00688999</v>
      </c>
      <c r="L28">
        <f t="shared" si="27"/>
        <v>138415551.28066236</v>
      </c>
      <c r="M28">
        <f t="shared" si="27"/>
        <v>128733479.6332112</v>
      </c>
      <c r="N28">
        <f t="shared" si="27"/>
        <v>128868023.44140956</v>
      </c>
      <c r="O28">
        <f t="shared" si="27"/>
        <v>10206307.161886185</v>
      </c>
      <c r="P28">
        <f t="shared" si="27"/>
        <v>495095.06036242843</v>
      </c>
      <c r="Q28">
        <f t="shared" si="27"/>
        <v>406114.89244690537</v>
      </c>
      <c r="R28">
        <f t="shared" si="2"/>
        <v>6345.5451944828965</v>
      </c>
    </row>
    <row r="29" spans="1:18" x14ac:dyDescent="0.25">
      <c r="A29">
        <v>28</v>
      </c>
      <c r="B29" t="s">
        <v>51</v>
      </c>
      <c r="C29">
        <v>1</v>
      </c>
      <c r="D29">
        <v>1</v>
      </c>
      <c r="E29">
        <v>-1</v>
      </c>
      <c r="F29">
        <v>1</v>
      </c>
      <c r="G29">
        <v>1</v>
      </c>
      <c r="H29">
        <v>-1</v>
      </c>
      <c r="I29">
        <v>-1</v>
      </c>
      <c r="J29">
        <v>82805842.453211099</v>
      </c>
      <c r="K29">
        <f t="shared" ref="K29:Q29" si="28">J56+J57</f>
        <v>113097150.30880453</v>
      </c>
      <c r="L29">
        <f t="shared" si="28"/>
        <v>125874824.45073292</v>
      </c>
      <c r="M29">
        <f t="shared" si="28"/>
        <v>128241687.46253657</v>
      </c>
      <c r="N29">
        <f t="shared" si="28"/>
        <v>128344521.36757264</v>
      </c>
      <c r="O29">
        <f t="shared" si="28"/>
        <v>10220694.757441372</v>
      </c>
      <c r="P29">
        <f t="shared" si="28"/>
        <v>236655.35347633064</v>
      </c>
      <c r="Q29">
        <f t="shared" si="28"/>
        <v>-388080.60572914779</v>
      </c>
      <c r="R29">
        <f t="shared" si="2"/>
        <v>-6063.7594645179342</v>
      </c>
    </row>
    <row r="30" spans="1:18" x14ac:dyDescent="0.25">
      <c r="A30">
        <v>29</v>
      </c>
      <c r="B30" t="s">
        <v>52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655425.37629865203</v>
      </c>
      <c r="K30">
        <f t="shared" ref="K30:Q30" si="29">J58+J59</f>
        <v>21615698.59624061</v>
      </c>
      <c r="L30">
        <f t="shared" si="29"/>
        <v>140427990.82726792</v>
      </c>
      <c r="M30">
        <f t="shared" si="29"/>
        <v>128327247.89418669</v>
      </c>
      <c r="N30">
        <f t="shared" si="29"/>
        <v>128400641.13363706</v>
      </c>
      <c r="O30">
        <f t="shared" si="29"/>
        <v>25950930.525883466</v>
      </c>
      <c r="P30">
        <f t="shared" si="29"/>
        <v>225631.89808797836</v>
      </c>
      <c r="Q30">
        <f t="shared" si="29"/>
        <v>-563245.51452788711</v>
      </c>
      <c r="R30">
        <f t="shared" si="2"/>
        <v>-8800.711164498236</v>
      </c>
    </row>
    <row r="31" spans="1:18" x14ac:dyDescent="0.25">
      <c r="A31">
        <v>30</v>
      </c>
      <c r="B31" t="s">
        <v>53</v>
      </c>
      <c r="C31">
        <v>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13370389.870304611</v>
      </c>
      <c r="K31">
        <f t="shared" ref="K31:Q31" si="30">J60+J61</f>
        <v>116832294.20426479</v>
      </c>
      <c r="L31">
        <f t="shared" si="30"/>
        <v>127411150.49149197</v>
      </c>
      <c r="M31">
        <f t="shared" si="30"/>
        <v>127479262.09851563</v>
      </c>
      <c r="N31">
        <f t="shared" si="30"/>
        <v>128292082.41852733</v>
      </c>
      <c r="O31">
        <f t="shared" si="30"/>
        <v>25868154.830675311</v>
      </c>
      <c r="P31">
        <f t="shared" si="30"/>
        <v>50768.105226635933</v>
      </c>
      <c r="Q31">
        <f t="shared" si="30"/>
        <v>-357743.55014756322</v>
      </c>
      <c r="R31">
        <f t="shared" si="2"/>
        <v>-5589.7429710556753</v>
      </c>
    </row>
    <row r="32" spans="1:18" x14ac:dyDescent="0.25">
      <c r="A32">
        <v>31</v>
      </c>
      <c r="B32" t="s">
        <v>54</v>
      </c>
      <c r="C32">
        <v>-1</v>
      </c>
      <c r="D32">
        <v>1</v>
      </c>
      <c r="E32">
        <v>1</v>
      </c>
      <c r="F32">
        <v>1</v>
      </c>
      <c r="G32">
        <v>1</v>
      </c>
      <c r="H32">
        <v>-1</v>
      </c>
      <c r="I32">
        <v>-1</v>
      </c>
      <c r="J32">
        <v>32216099.603926759</v>
      </c>
      <c r="K32">
        <f t="shared" ref="K32:Q32" si="31">J62+J63</f>
        <v>13953847.364635402</v>
      </c>
      <c r="L32">
        <f t="shared" si="31"/>
        <v>139096913.71162564</v>
      </c>
      <c r="M32">
        <f t="shared" si="31"/>
        <v>128632868.26364154</v>
      </c>
      <c r="N32">
        <f t="shared" si="31"/>
        <v>128293959.85829943</v>
      </c>
      <c r="O32">
        <f t="shared" si="31"/>
        <v>25901866.453995675</v>
      </c>
      <c r="P32">
        <f t="shared" si="31"/>
        <v>-254703.79725784808</v>
      </c>
      <c r="Q32">
        <f t="shared" si="31"/>
        <v>134546.77025035024</v>
      </c>
      <c r="R32">
        <f t="shared" si="2"/>
        <v>2102.2932851617225</v>
      </c>
    </row>
    <row r="33" spans="1:18" x14ac:dyDescent="0.25">
      <c r="A33">
        <v>32</v>
      </c>
      <c r="B33" t="s">
        <v>55</v>
      </c>
      <c r="C33">
        <v>1</v>
      </c>
      <c r="D33">
        <v>1</v>
      </c>
      <c r="E33">
        <v>1</v>
      </c>
      <c r="F33">
        <v>1</v>
      </c>
      <c r="G33">
        <v>1</v>
      </c>
      <c r="H33">
        <v>-1</v>
      </c>
      <c r="I33">
        <v>-1</v>
      </c>
      <c r="J33">
        <v>80227856.751658902</v>
      </c>
      <c r="K33">
        <f t="shared" ref="K33:Q33" si="32">J64+J65</f>
        <v>111880424.04976432</v>
      </c>
      <c r="L33">
        <f t="shared" si="32"/>
        <v>126274975.069291</v>
      </c>
      <c r="M33">
        <f t="shared" si="32"/>
        <v>128043947.49785772</v>
      </c>
      <c r="N33">
        <f t="shared" si="32"/>
        <v>128085804.90874539</v>
      </c>
      <c r="O33">
        <f t="shared" si="32"/>
        <v>25781867.270045992</v>
      </c>
      <c r="P33">
        <f t="shared" si="32"/>
        <v>-339635.45740849897</v>
      </c>
      <c r="Q33">
        <f t="shared" si="32"/>
        <v>246662.15732351318</v>
      </c>
      <c r="R33">
        <f t="shared" si="2"/>
        <v>3854.0962081798934</v>
      </c>
    </row>
    <row r="34" spans="1:18" x14ac:dyDescent="0.25">
      <c r="A34">
        <v>33</v>
      </c>
      <c r="B34" t="s">
        <v>56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1</v>
      </c>
      <c r="I34">
        <v>-1</v>
      </c>
      <c r="J34">
        <v>1190115.7202107289</v>
      </c>
      <c r="K34">
        <f t="shared" ref="K34:Q34" si="33">J66+J67</f>
        <v>21824093.264717825</v>
      </c>
      <c r="L34">
        <f t="shared" si="33"/>
        <v>67580793.770176396</v>
      </c>
      <c r="M34">
        <f t="shared" si="33"/>
        <v>195872917.9133448</v>
      </c>
      <c r="N34">
        <f t="shared" si="33"/>
        <v>-25264685.819333062</v>
      </c>
      <c r="O34">
        <f t="shared" si="33"/>
        <v>-5159785.4301581979</v>
      </c>
      <c r="P34">
        <f t="shared" si="33"/>
        <v>3713650.1415523291</v>
      </c>
      <c r="Q34">
        <f t="shared" si="33"/>
        <v>-8794334.3845732212</v>
      </c>
      <c r="R34">
        <f t="shared" si="2"/>
        <v>-137411.47475895658</v>
      </c>
    </row>
    <row r="35" spans="1:18" x14ac:dyDescent="0.25">
      <c r="A35">
        <v>34</v>
      </c>
      <c r="B35" t="s">
        <v>57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I35">
        <v>-1</v>
      </c>
      <c r="J35">
        <v>20423217.84655096</v>
      </c>
      <c r="K35">
        <f t="shared" ref="K35:Q35" si="34">J68+J69</f>
        <v>118630019.3579049</v>
      </c>
      <c r="L35">
        <f t="shared" si="34"/>
        <v>60872659.921587341</v>
      </c>
      <c r="M35">
        <f t="shared" si="34"/>
        <v>193931808.1527189</v>
      </c>
      <c r="N35">
        <f t="shared" si="34"/>
        <v>-25714511.259983197</v>
      </c>
      <c r="O35">
        <f t="shared" si="34"/>
        <v>-6568860.0497627854</v>
      </c>
      <c r="P35">
        <f t="shared" si="34"/>
        <v>2799921.3352816701</v>
      </c>
      <c r="Q35">
        <f t="shared" si="34"/>
        <v>-1700848.5376195312</v>
      </c>
      <c r="R35">
        <f t="shared" ref="R35:R66" si="35">Q35/64</f>
        <v>-26575.758400305174</v>
      </c>
    </row>
    <row r="36" spans="1:18" x14ac:dyDescent="0.25">
      <c r="A36">
        <v>35</v>
      </c>
      <c r="B36" t="s">
        <v>58</v>
      </c>
      <c r="C36">
        <v>-1</v>
      </c>
      <c r="D36">
        <v>1</v>
      </c>
      <c r="E36">
        <v>-1</v>
      </c>
      <c r="F36">
        <v>-1</v>
      </c>
      <c r="G36">
        <v>-1</v>
      </c>
      <c r="H36">
        <v>1</v>
      </c>
      <c r="I36">
        <v>-1</v>
      </c>
      <c r="J36">
        <v>34871486.455626316</v>
      </c>
      <c r="K36">
        <f t="shared" ref="K36:Q36" si="36">J70+J71</f>
        <v>14088454.076299135</v>
      </c>
      <c r="L36">
        <f t="shared" si="36"/>
        <v>67139651.482884899</v>
      </c>
      <c r="M36">
        <f t="shared" si="36"/>
        <v>196011895.61549717</v>
      </c>
      <c r="N36">
        <f t="shared" si="36"/>
        <v>-24878263.461758748</v>
      </c>
      <c r="O36">
        <f t="shared" si="36"/>
        <v>-4190518.7378082275</v>
      </c>
      <c r="P36">
        <f t="shared" si="36"/>
        <v>1857244.6623330414</v>
      </c>
      <c r="Q36">
        <f t="shared" si="36"/>
        <v>-6202321.5701612234</v>
      </c>
      <c r="R36">
        <f t="shared" si="35"/>
        <v>-96911.274533769116</v>
      </c>
    </row>
    <row r="37" spans="1:18" x14ac:dyDescent="0.25">
      <c r="A37">
        <v>36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-1</v>
      </c>
      <c r="J37">
        <v>83094960.295781493</v>
      </c>
      <c r="K37">
        <f t="shared" ref="K37:Q37" si="37">J72+J73</f>
        <v>113430661.24012333</v>
      </c>
      <c r="L37">
        <f t="shared" si="37"/>
        <v>60570122.317706756</v>
      </c>
      <c r="M37">
        <f t="shared" si="37"/>
        <v>194170412.1668393</v>
      </c>
      <c r="N37">
        <f t="shared" si="37"/>
        <v>-25512253.65416275</v>
      </c>
      <c r="O37">
        <f t="shared" si="37"/>
        <v>-5428681.2048577368</v>
      </c>
      <c r="P37">
        <f t="shared" si="37"/>
        <v>1445740.8219030201</v>
      </c>
      <c r="Q37">
        <f t="shared" si="37"/>
        <v>-40468.237116426229</v>
      </c>
      <c r="R37">
        <f t="shared" si="35"/>
        <v>-632.31620494415984</v>
      </c>
    </row>
    <row r="38" spans="1:18" x14ac:dyDescent="0.25">
      <c r="A38">
        <v>37</v>
      </c>
      <c r="B38" t="s">
        <v>60</v>
      </c>
      <c r="C38">
        <v>-1</v>
      </c>
      <c r="D38">
        <v>-1</v>
      </c>
      <c r="E38">
        <v>1</v>
      </c>
      <c r="F38">
        <v>-1</v>
      </c>
      <c r="G38">
        <v>-1</v>
      </c>
      <c r="H38">
        <v>1</v>
      </c>
      <c r="I38">
        <v>-1</v>
      </c>
      <c r="J38">
        <v>654466.78330903873</v>
      </c>
      <c r="K38">
        <f t="shared" ref="K38:Q38" si="38">J74+J75</f>
        <v>21592230.00500137</v>
      </c>
      <c r="L38">
        <f t="shared" si="38"/>
        <v>67762113.9118426</v>
      </c>
      <c r="M38">
        <f t="shared" si="38"/>
        <v>195273503.89815634</v>
      </c>
      <c r="N38">
        <f t="shared" si="38"/>
        <v>-25622495.784327194</v>
      </c>
      <c r="O38">
        <f t="shared" si="38"/>
        <v>-1259907.526772052</v>
      </c>
      <c r="P38">
        <f t="shared" si="38"/>
        <v>746502.85711735487</v>
      </c>
      <c r="Q38">
        <f t="shared" si="38"/>
        <v>904549.96111139655</v>
      </c>
      <c r="R38">
        <f t="shared" si="35"/>
        <v>14133.593142365571</v>
      </c>
    </row>
    <row r="39" spans="1:18" x14ac:dyDescent="0.25">
      <c r="A39">
        <v>38</v>
      </c>
      <c r="B39" t="s">
        <v>61</v>
      </c>
      <c r="C39">
        <v>1</v>
      </c>
      <c r="D39">
        <v>-1</v>
      </c>
      <c r="E39">
        <v>1</v>
      </c>
      <c r="F39">
        <v>-1</v>
      </c>
      <c r="G39">
        <v>-1</v>
      </c>
      <c r="H39">
        <v>1</v>
      </c>
      <c r="I39">
        <v>-1</v>
      </c>
      <c r="J39">
        <v>13332960.79421309</v>
      </c>
      <c r="K39">
        <f t="shared" ref="K39:Q39" si="39">J76+J77</f>
        <v>117607523.58386037</v>
      </c>
      <c r="L39">
        <f t="shared" si="39"/>
        <v>60959418.443638489</v>
      </c>
      <c r="M39">
        <f t="shared" si="39"/>
        <v>192922146.68338126</v>
      </c>
      <c r="N39">
        <f t="shared" si="39"/>
        <v>-25932863.223449603</v>
      </c>
      <c r="O39">
        <f t="shared" si="39"/>
        <v>-1488314.1960219741</v>
      </c>
      <c r="P39">
        <f t="shared" si="39"/>
        <v>828795.82910639048</v>
      </c>
      <c r="Q39">
        <f t="shared" si="39"/>
        <v>309878.79612824321</v>
      </c>
      <c r="R39">
        <f t="shared" si="35"/>
        <v>4841.8561895038001</v>
      </c>
    </row>
    <row r="40" spans="1:18" x14ac:dyDescent="0.25">
      <c r="A40">
        <v>39</v>
      </c>
      <c r="B40" t="s">
        <v>62</v>
      </c>
      <c r="C40">
        <v>-1</v>
      </c>
      <c r="D40">
        <v>1</v>
      </c>
      <c r="E40">
        <v>1</v>
      </c>
      <c r="F40">
        <v>-1</v>
      </c>
      <c r="G40">
        <v>-1</v>
      </c>
      <c r="H40">
        <v>1</v>
      </c>
      <c r="I40">
        <v>-1</v>
      </c>
      <c r="J40">
        <v>32396372.19784179</v>
      </c>
      <c r="K40">
        <f t="shared" ref="K40:Q40" si="40">J78+J79</f>
        <v>13978925.189733669</v>
      </c>
      <c r="L40">
        <f t="shared" si="40"/>
        <v>67478583.078143016</v>
      </c>
      <c r="M40">
        <f t="shared" si="40"/>
        <v>195421399.42922908</v>
      </c>
      <c r="N40">
        <f t="shared" si="40"/>
        <v>-25400710.03194958</v>
      </c>
      <c r="O40">
        <f t="shared" si="40"/>
        <v>-1155416.2719160318</v>
      </c>
      <c r="P40">
        <f t="shared" si="40"/>
        <v>-784064.37550184131</v>
      </c>
      <c r="Q40">
        <f t="shared" si="40"/>
        <v>87933.954019963741</v>
      </c>
      <c r="R40">
        <f t="shared" si="35"/>
        <v>1373.9680315619335</v>
      </c>
    </row>
    <row r="41" spans="1:18" x14ac:dyDescent="0.25">
      <c r="A41">
        <v>40</v>
      </c>
      <c r="B41" t="s">
        <v>63</v>
      </c>
      <c r="C41">
        <v>1</v>
      </c>
      <c r="D41">
        <v>1</v>
      </c>
      <c r="E41">
        <v>1</v>
      </c>
      <c r="F41">
        <v>-1</v>
      </c>
      <c r="G41">
        <v>-1</v>
      </c>
      <c r="H41">
        <v>1</v>
      </c>
      <c r="I41">
        <v>-1</v>
      </c>
      <c r="J41">
        <v>80511446.093190566</v>
      </c>
      <c r="K41">
        <f t="shared" ref="K41:Q41" si="41">J80+J81</f>
        <v>112533329.92100114</v>
      </c>
      <c r="L41">
        <f t="shared" si="41"/>
        <v>60726721.641738102</v>
      </c>
      <c r="M41">
        <f t="shared" si="41"/>
        <v>193143172.29315311</v>
      </c>
      <c r="N41">
        <f t="shared" si="41"/>
        <v>-25838778.978110582</v>
      </c>
      <c r="O41">
        <f t="shared" si="41"/>
        <v>-1436906.5614548773</v>
      </c>
      <c r="P41">
        <f t="shared" si="41"/>
        <v>-316713.66466376185</v>
      </c>
      <c r="Q41">
        <f t="shared" si="41"/>
        <v>-202774.87915783748</v>
      </c>
      <c r="R41">
        <f t="shared" si="35"/>
        <v>-3168.3574868412106</v>
      </c>
    </row>
    <row r="42" spans="1:18" x14ac:dyDescent="0.25">
      <c r="A42">
        <v>41</v>
      </c>
      <c r="B42" t="s">
        <v>64</v>
      </c>
      <c r="C42">
        <v>-1</v>
      </c>
      <c r="D42">
        <v>-1</v>
      </c>
      <c r="E42">
        <v>-1</v>
      </c>
      <c r="F42">
        <v>1</v>
      </c>
      <c r="G42">
        <v>-1</v>
      </c>
      <c r="H42">
        <v>1</v>
      </c>
      <c r="I42">
        <v>-1</v>
      </c>
      <c r="J42">
        <v>1131269.1437299631</v>
      </c>
      <c r="K42">
        <f t="shared" ref="K42:Q42" si="42">J82+J83</f>
        <v>21923677.260339409</v>
      </c>
      <c r="L42">
        <f t="shared" si="42"/>
        <v>67456575.96649541</v>
      </c>
      <c r="M42">
        <f t="shared" si="42"/>
        <v>196148133.25701126</v>
      </c>
      <c r="N42">
        <f t="shared" si="42"/>
        <v>-13277663.013767198</v>
      </c>
      <c r="O42">
        <f t="shared" si="42"/>
        <v>-3782593.2092837691</v>
      </c>
      <c r="P42">
        <f t="shared" si="42"/>
        <v>-1083815.6330541372</v>
      </c>
      <c r="Q42">
        <f t="shared" si="42"/>
        <v>-2647237.0866540968</v>
      </c>
      <c r="R42">
        <f t="shared" si="35"/>
        <v>-41363.079478970263</v>
      </c>
    </row>
    <row r="43" spans="1:18" x14ac:dyDescent="0.25">
      <c r="A43">
        <v>42</v>
      </c>
      <c r="B43" t="s">
        <v>65</v>
      </c>
      <c r="C43">
        <v>1</v>
      </c>
      <c r="D43">
        <v>-1</v>
      </c>
      <c r="E43">
        <v>-1</v>
      </c>
      <c r="F43">
        <v>1</v>
      </c>
      <c r="G43">
        <v>-1</v>
      </c>
      <c r="H43">
        <v>1</v>
      </c>
      <c r="I43">
        <v>-1</v>
      </c>
      <c r="J43">
        <v>20053083.614583232</v>
      </c>
      <c r="K43">
        <f t="shared" ref="K43:Q43" si="43">J84+J85</f>
        <v>118784081.80546901</v>
      </c>
      <c r="L43">
        <f t="shared" si="43"/>
        <v>60793567.906252824</v>
      </c>
      <c r="M43">
        <f t="shared" si="43"/>
        <v>194569698.31012648</v>
      </c>
      <c r="N43">
        <f t="shared" si="43"/>
        <v>-13554556.904609025</v>
      </c>
      <c r="O43">
        <f t="shared" si="43"/>
        <v>-4629584.350851059</v>
      </c>
      <c r="P43">
        <f t="shared" si="43"/>
        <v>-748436.38528341055</v>
      </c>
      <c r="Q43">
        <f t="shared" si="43"/>
        <v>-509896.95878876746</v>
      </c>
      <c r="R43">
        <f t="shared" si="35"/>
        <v>-7967.1399810744915</v>
      </c>
    </row>
    <row r="44" spans="1:18" x14ac:dyDescent="0.25">
      <c r="A44">
        <v>43</v>
      </c>
      <c r="B44" t="s">
        <v>66</v>
      </c>
      <c r="C44">
        <v>-1</v>
      </c>
      <c r="D44">
        <v>1</v>
      </c>
      <c r="E44">
        <v>-1</v>
      </c>
      <c r="F44">
        <v>1</v>
      </c>
      <c r="G44">
        <v>-1</v>
      </c>
      <c r="H44">
        <v>1</v>
      </c>
      <c r="I44">
        <v>-1</v>
      </c>
      <c r="J44">
        <v>34186981.550421163</v>
      </c>
      <c r="K44">
        <f t="shared" ref="K44:Q44" si="44">J86+J87</f>
        <v>14123271.145930134</v>
      </c>
      <c r="L44">
        <f t="shared" si="44"/>
        <v>66892443.528520688</v>
      </c>
      <c r="M44">
        <f t="shared" si="44"/>
        <v>196278906.93866667</v>
      </c>
      <c r="N44">
        <f t="shared" si="44"/>
        <v>-13104461.822552308</v>
      </c>
      <c r="O44">
        <f t="shared" si="44"/>
        <v>-3048885.5203360915</v>
      </c>
      <c r="P44">
        <f t="shared" si="44"/>
        <v>-666124.74210192263</v>
      </c>
      <c r="Q44">
        <f t="shared" si="44"/>
        <v>-1829783.5549229681</v>
      </c>
      <c r="R44">
        <f t="shared" si="35"/>
        <v>-28590.368045671377</v>
      </c>
    </row>
    <row r="45" spans="1:18" x14ac:dyDescent="0.25">
      <c r="A45">
        <v>44</v>
      </c>
      <c r="B45" t="s">
        <v>67</v>
      </c>
      <c r="C45">
        <v>1</v>
      </c>
      <c r="D45">
        <v>1</v>
      </c>
      <c r="E45">
        <v>-1</v>
      </c>
      <c r="F45">
        <v>1</v>
      </c>
      <c r="G45">
        <v>-1</v>
      </c>
      <c r="H45">
        <v>1</v>
      </c>
      <c r="I45">
        <v>-1</v>
      </c>
      <c r="J45">
        <v>82157610.608088583</v>
      </c>
      <c r="K45">
        <f t="shared" ref="K45:Q45" si="45">J88+J89</f>
        <v>113541773.5394672</v>
      </c>
      <c r="L45">
        <f t="shared" si="45"/>
        <v>60450989.766210966</v>
      </c>
      <c r="M45">
        <f t="shared" si="45"/>
        <v>194808456.36521536</v>
      </c>
      <c r="N45">
        <f t="shared" si="45"/>
        <v>-13493692.673812404</v>
      </c>
      <c r="O45">
        <f t="shared" si="45"/>
        <v>-4031677.9336917698</v>
      </c>
      <c r="P45">
        <f t="shared" si="45"/>
        <v>-443402.39225257933</v>
      </c>
      <c r="Q45">
        <f t="shared" si="45"/>
        <v>27500.947953820229</v>
      </c>
      <c r="R45">
        <f t="shared" si="35"/>
        <v>429.70231177844107</v>
      </c>
    </row>
    <row r="46" spans="1:18" x14ac:dyDescent="0.25">
      <c r="A46">
        <v>45</v>
      </c>
      <c r="B46" t="s">
        <v>68</v>
      </c>
      <c r="C46">
        <v>-1</v>
      </c>
      <c r="D46">
        <v>-1</v>
      </c>
      <c r="E46">
        <v>1</v>
      </c>
      <c r="F46">
        <v>1</v>
      </c>
      <c r="G46">
        <v>-1</v>
      </c>
      <c r="H46">
        <v>1</v>
      </c>
      <c r="I46">
        <v>-1</v>
      </c>
      <c r="J46">
        <v>628644.02790481062</v>
      </c>
      <c r="K46">
        <f t="shared" ref="K46:Q46" si="46">J90+J91</f>
        <v>21774503.455275606</v>
      </c>
      <c r="L46">
        <f t="shared" si="46"/>
        <v>67711652.646460831</v>
      </c>
      <c r="M46">
        <f t="shared" si="46"/>
        <v>195631868.20375371</v>
      </c>
      <c r="N46">
        <f t="shared" si="46"/>
        <v>-13467203.392338485</v>
      </c>
      <c r="O46">
        <f t="shared" si="46"/>
        <v>-287048.3359593451</v>
      </c>
      <c r="P46">
        <f t="shared" si="46"/>
        <v>262871.30117720366</v>
      </c>
      <c r="Q46">
        <f t="shared" si="46"/>
        <v>299561.8314409256</v>
      </c>
      <c r="R46">
        <f t="shared" si="35"/>
        <v>4680.6536162644625</v>
      </c>
    </row>
    <row r="47" spans="1:18" x14ac:dyDescent="0.25">
      <c r="A47">
        <v>46</v>
      </c>
      <c r="B47" t="s">
        <v>69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13158010.28284242</v>
      </c>
      <c r="K47">
        <f t="shared" ref="K47:Q47" si="47">J92+J93</f>
        <v>117892323.09266673</v>
      </c>
      <c r="L47">
        <f t="shared" si="47"/>
        <v>60922755.285944901</v>
      </c>
      <c r="M47">
        <f t="shared" si="47"/>
        <v>193553342.17273468</v>
      </c>
      <c r="N47">
        <f t="shared" si="47"/>
        <v>-13649590.412796326</v>
      </c>
      <c r="O47">
        <f t="shared" si="47"/>
        <v>-166006.24863819033</v>
      </c>
      <c r="P47">
        <f t="shared" si="47"/>
        <v>168632.80752193928</v>
      </c>
      <c r="Q47">
        <f t="shared" si="47"/>
        <v>148044.86864936352</v>
      </c>
      <c r="R47">
        <f t="shared" si="35"/>
        <v>2313.201072646305</v>
      </c>
    </row>
    <row r="48" spans="1:18" x14ac:dyDescent="0.25">
      <c r="A48">
        <v>47</v>
      </c>
      <c r="B48" t="s">
        <v>70</v>
      </c>
      <c r="C48">
        <v>-1</v>
      </c>
      <c r="D48">
        <v>1</v>
      </c>
      <c r="E48">
        <v>1</v>
      </c>
      <c r="F48">
        <v>1</v>
      </c>
      <c r="G48">
        <v>-1</v>
      </c>
      <c r="H48">
        <v>1</v>
      </c>
      <c r="I48">
        <v>-1</v>
      </c>
      <c r="J48">
        <v>31813469.041329291</v>
      </c>
      <c r="K48">
        <f t="shared" ref="K48:Q48" si="48">J94+J95</f>
        <v>14043020.488539798</v>
      </c>
      <c r="L48">
        <f t="shared" si="48"/>
        <v>67378799.813848406</v>
      </c>
      <c r="M48">
        <f t="shared" si="48"/>
        <v>195798813.1857616</v>
      </c>
      <c r="N48">
        <f t="shared" si="48"/>
        <v>-13389982.529611669</v>
      </c>
      <c r="O48">
        <f t="shared" si="48"/>
        <v>-334890.86751168221</v>
      </c>
      <c r="P48">
        <f t="shared" si="48"/>
        <v>483947.07108984143</v>
      </c>
      <c r="Q48">
        <f t="shared" si="48"/>
        <v>27830.072802275419</v>
      </c>
      <c r="R48">
        <f t="shared" si="35"/>
        <v>434.84488753555343</v>
      </c>
    </row>
    <row r="49" spans="1:18" x14ac:dyDescent="0.25">
      <c r="A49">
        <v>48</v>
      </c>
      <c r="B49" t="s">
        <v>71</v>
      </c>
      <c r="C49">
        <v>1</v>
      </c>
      <c r="D49">
        <v>1</v>
      </c>
      <c r="E49">
        <v>1</v>
      </c>
      <c r="F49">
        <v>1</v>
      </c>
      <c r="G49">
        <v>-1</v>
      </c>
      <c r="H49">
        <v>1</v>
      </c>
      <c r="I49">
        <v>-1</v>
      </c>
      <c r="J49">
        <v>79735092.552602649</v>
      </c>
      <c r="K49">
        <f t="shared" ref="K49:Q49" si="49">J96+J97</f>
        <v>112733657.21636403</v>
      </c>
      <c r="L49">
        <f t="shared" si="49"/>
        <v>60674004.500551932</v>
      </c>
      <c r="M49">
        <f t="shared" si="49"/>
        <v>193845661.28308886</v>
      </c>
      <c r="N49">
        <f t="shared" si="49"/>
        <v>-13650997.901406407</v>
      </c>
      <c r="O49">
        <f t="shared" si="49"/>
        <v>-428432.00687901676</v>
      </c>
      <c r="P49">
        <f t="shared" si="49"/>
        <v>351447.72205938771</v>
      </c>
      <c r="Q49">
        <f t="shared" si="49"/>
        <v>-24872.089838583022</v>
      </c>
      <c r="R49">
        <f t="shared" si="35"/>
        <v>-388.62640372785972</v>
      </c>
    </row>
    <row r="50" spans="1:18" x14ac:dyDescent="0.25">
      <c r="A50">
        <v>49</v>
      </c>
      <c r="B50" t="s">
        <v>72</v>
      </c>
      <c r="C50">
        <v>-1</v>
      </c>
      <c r="D50">
        <v>-1</v>
      </c>
      <c r="E50">
        <v>-1</v>
      </c>
      <c r="F50">
        <v>-1</v>
      </c>
      <c r="G50">
        <v>1</v>
      </c>
      <c r="H50">
        <v>1</v>
      </c>
      <c r="I50">
        <v>-1</v>
      </c>
      <c r="J50">
        <v>1203989.5948140461</v>
      </c>
      <c r="K50">
        <f t="shared" ref="K50:Q50" si="50">J98+J99</f>
        <v>21752316.045998696</v>
      </c>
      <c r="L50">
        <f t="shared" si="50"/>
        <v>67652774.360692501</v>
      </c>
      <c r="M50">
        <f t="shared" si="50"/>
        <v>64349132.716804713</v>
      </c>
      <c r="N50">
        <f t="shared" si="50"/>
        <v>5167247.421883747</v>
      </c>
      <c r="O50">
        <f t="shared" si="50"/>
        <v>590148.18806779385</v>
      </c>
      <c r="P50">
        <f t="shared" si="50"/>
        <v>1109642.1205414534</v>
      </c>
      <c r="Q50">
        <f t="shared" si="50"/>
        <v>1190800.6751593947</v>
      </c>
      <c r="R50">
        <f t="shared" si="35"/>
        <v>18606.260549365543</v>
      </c>
    </row>
    <row r="51" spans="1:18" x14ac:dyDescent="0.25">
      <c r="A51">
        <v>50</v>
      </c>
      <c r="B51" t="s">
        <v>73</v>
      </c>
      <c r="C51">
        <v>1</v>
      </c>
      <c r="D51">
        <v>-1</v>
      </c>
      <c r="E51">
        <v>-1</v>
      </c>
      <c r="F51">
        <v>-1</v>
      </c>
      <c r="G51">
        <v>1</v>
      </c>
      <c r="H51">
        <v>1</v>
      </c>
      <c r="I51">
        <v>-1</v>
      </c>
      <c r="J51">
        <v>20631727.133404478</v>
      </c>
      <c r="K51">
        <f t="shared" ref="K51:Q51" si="51">J100+J101</f>
        <v>118303577.75421625</v>
      </c>
      <c r="L51">
        <f t="shared" si="51"/>
        <v>60878903.711249046</v>
      </c>
      <c r="M51">
        <f t="shared" si="51"/>
        <v>64251175.564517289</v>
      </c>
      <c r="N51">
        <f t="shared" si="51"/>
        <v>5263607.8832084835</v>
      </c>
      <c r="O51">
        <f t="shared" si="51"/>
        <v>775616.31942263246</v>
      </c>
      <c r="P51">
        <f t="shared" si="51"/>
        <v>826095.87026032805</v>
      </c>
      <c r="Q51">
        <f t="shared" si="51"/>
        <v>624896.2120102644</v>
      </c>
      <c r="R51">
        <f t="shared" si="35"/>
        <v>9764.0033126603812</v>
      </c>
    </row>
    <row r="52" spans="1:18" x14ac:dyDescent="0.25">
      <c r="A52">
        <v>51</v>
      </c>
      <c r="B52" t="s">
        <v>74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34974881.873831332</v>
      </c>
      <c r="K52">
        <f t="shared" ref="K52:Q52" si="52">J102+J103</f>
        <v>14057652.051329322</v>
      </c>
      <c r="L52">
        <f t="shared" si="52"/>
        <v>67280693.356797591</v>
      </c>
      <c r="M52">
        <f t="shared" si="52"/>
        <v>64264418.581664503</v>
      </c>
      <c r="N52">
        <f t="shared" si="52"/>
        <v>5168945.4118522704</v>
      </c>
      <c r="O52">
        <f t="shared" si="52"/>
        <v>400064.36544591188</v>
      </c>
      <c r="P52">
        <f t="shared" si="52"/>
        <v>552559.21558329463</v>
      </c>
      <c r="Q52">
        <f t="shared" si="52"/>
        <v>81071.780189633369</v>
      </c>
      <c r="R52">
        <f t="shared" si="35"/>
        <v>1266.7465654630214</v>
      </c>
    </row>
    <row r="53" spans="1:18" x14ac:dyDescent="0.25">
      <c r="A53">
        <v>52</v>
      </c>
      <c r="B53" t="s">
        <v>75</v>
      </c>
      <c r="C53">
        <v>1</v>
      </c>
      <c r="D53">
        <v>1</v>
      </c>
      <c r="E53">
        <v>-1</v>
      </c>
      <c r="F53">
        <v>-1</v>
      </c>
      <c r="G53">
        <v>1</v>
      </c>
      <c r="H53">
        <v>1</v>
      </c>
      <c r="I53">
        <v>-1</v>
      </c>
      <c r="J53">
        <v>83258796.981701732</v>
      </c>
      <c r="K53">
        <f t="shared" ref="K53:Q53" si="53">J104+J105</f>
        <v>113138258.54686548</v>
      </c>
      <c r="L53">
        <f t="shared" si="53"/>
        <v>60587360.613902561</v>
      </c>
      <c r="M53">
        <f t="shared" si="53"/>
        <v>64075327.397992581</v>
      </c>
      <c r="N53">
        <f t="shared" si="53"/>
        <v>5335456.2517047375</v>
      </c>
      <c r="O53">
        <f t="shared" si="53"/>
        <v>514158.06553199887</v>
      </c>
      <c r="P53">
        <f t="shared" si="53"/>
        <v>430896.96045403183</v>
      </c>
      <c r="Q53">
        <f t="shared" si="53"/>
        <v>-362536.00661632419</v>
      </c>
      <c r="R53">
        <f t="shared" si="35"/>
        <v>-5664.6251033800654</v>
      </c>
    </row>
    <row r="54" spans="1:18" x14ac:dyDescent="0.25">
      <c r="A54">
        <v>53</v>
      </c>
      <c r="B54" t="s">
        <v>76</v>
      </c>
      <c r="C54">
        <v>-1</v>
      </c>
      <c r="D54">
        <v>-1</v>
      </c>
      <c r="E54">
        <v>1</v>
      </c>
      <c r="F54">
        <v>-1</v>
      </c>
      <c r="G54">
        <v>1</v>
      </c>
      <c r="H54">
        <v>1</v>
      </c>
      <c r="I54">
        <v>-1</v>
      </c>
      <c r="J54">
        <v>657704.2722764085</v>
      </c>
      <c r="K54">
        <f t="shared" ref="K54:Q54" si="54">J106+J107</f>
        <v>21450551.983532172</v>
      </c>
      <c r="L54">
        <f t="shared" si="54"/>
        <v>67784606.45751372</v>
      </c>
      <c r="M54">
        <f t="shared" si="54"/>
        <v>64426951.598259665</v>
      </c>
      <c r="N54">
        <f t="shared" si="54"/>
        <v>5075392.2230456024</v>
      </c>
      <c r="O54">
        <f t="shared" si="54"/>
        <v>189438.71521010995</v>
      </c>
      <c r="P54">
        <f t="shared" si="54"/>
        <v>172756.39066714048</v>
      </c>
      <c r="Q54">
        <f t="shared" si="54"/>
        <v>-311866.25879245996</v>
      </c>
      <c r="R54">
        <f t="shared" si="35"/>
        <v>-4872.9102936321869</v>
      </c>
    </row>
    <row r="55" spans="1:18" x14ac:dyDescent="0.25">
      <c r="A55">
        <v>54</v>
      </c>
      <c r="B55" t="s">
        <v>77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13416008.734613581</v>
      </c>
      <c r="K55">
        <f t="shared" ref="K55:Q55" si="55">J108+J109</f>
        <v>116964999.2971302</v>
      </c>
      <c r="L55">
        <f t="shared" si="55"/>
        <v>60948873.175697476</v>
      </c>
      <c r="M55">
        <f t="shared" si="55"/>
        <v>64441071.843149893</v>
      </c>
      <c r="N55">
        <f t="shared" si="55"/>
        <v>5130914.938840583</v>
      </c>
      <c r="O55">
        <f t="shared" si="55"/>
        <v>305656.34515231848</v>
      </c>
      <c r="P55">
        <f t="shared" si="55"/>
        <v>233358.50177976489</v>
      </c>
      <c r="Q55">
        <f t="shared" si="55"/>
        <v>-190965.31175516546</v>
      </c>
      <c r="R55">
        <f t="shared" si="35"/>
        <v>-2983.8329961744603</v>
      </c>
    </row>
    <row r="56" spans="1:18" x14ac:dyDescent="0.25">
      <c r="A56">
        <v>55</v>
      </c>
      <c r="B56" t="s">
        <v>78</v>
      </c>
      <c r="C56">
        <v>-1</v>
      </c>
      <c r="D56">
        <v>1</v>
      </c>
      <c r="E56">
        <v>1</v>
      </c>
      <c r="F56">
        <v>-1</v>
      </c>
      <c r="G56">
        <v>1</v>
      </c>
      <c r="H56">
        <v>1</v>
      </c>
      <c r="I56">
        <v>-1</v>
      </c>
      <c r="J56">
        <v>32466349.7425984</v>
      </c>
      <c r="K56">
        <f t="shared" ref="K56:Q56" si="56">J110+J111</f>
        <v>13917964.795798142</v>
      </c>
      <c r="L56">
        <f t="shared" si="56"/>
        <v>67527772.296758324</v>
      </c>
      <c r="M56">
        <f t="shared" si="56"/>
        <v>64262323.930550523</v>
      </c>
      <c r="N56">
        <f t="shared" si="56"/>
        <v>5053792.3328572065</v>
      </c>
      <c r="O56">
        <f t="shared" si="56"/>
        <v>102414.05738458782</v>
      </c>
      <c r="P56">
        <f t="shared" si="56"/>
        <v>-285380.76980314404</v>
      </c>
      <c r="Q56">
        <f t="shared" si="56"/>
        <v>127737.75445970893</v>
      </c>
      <c r="R56">
        <f t="shared" si="35"/>
        <v>1995.902413432952</v>
      </c>
    </row>
    <row r="57" spans="1:18" x14ac:dyDescent="0.25">
      <c r="A57">
        <v>56</v>
      </c>
      <c r="B57" t="s">
        <v>79</v>
      </c>
      <c r="C57">
        <v>1</v>
      </c>
      <c r="D57">
        <v>1</v>
      </c>
      <c r="E57">
        <v>1</v>
      </c>
      <c r="F57">
        <v>-1</v>
      </c>
      <c r="G57">
        <v>1</v>
      </c>
      <c r="H57">
        <v>1</v>
      </c>
      <c r="I57">
        <v>-1</v>
      </c>
      <c r="J57">
        <v>80630800.566206127</v>
      </c>
      <c r="K57">
        <f t="shared" ref="K57:Q57" si="57">J112+J113</f>
        <v>111956859.65493478</v>
      </c>
      <c r="L57">
        <f t="shared" si="57"/>
        <v>60713915.165778242</v>
      </c>
      <c r="M57">
        <f t="shared" si="57"/>
        <v>64082197.437022105</v>
      </c>
      <c r="N57">
        <f t="shared" si="57"/>
        <v>5166902.4245841652</v>
      </c>
      <c r="O57">
        <f t="shared" si="57"/>
        <v>134241.29609174281</v>
      </c>
      <c r="P57">
        <f t="shared" si="57"/>
        <v>-102699.83592600375</v>
      </c>
      <c r="Q57">
        <f t="shared" si="57"/>
        <v>165885.42486579344</v>
      </c>
      <c r="R57">
        <f t="shared" si="35"/>
        <v>2591.9597635280224</v>
      </c>
    </row>
    <row r="58" spans="1:18" x14ac:dyDescent="0.25">
      <c r="A58">
        <v>57</v>
      </c>
      <c r="B58" t="s">
        <v>80</v>
      </c>
      <c r="C58">
        <v>-1</v>
      </c>
      <c r="D58">
        <v>-1</v>
      </c>
      <c r="E58">
        <v>-1</v>
      </c>
      <c r="F58">
        <v>1</v>
      </c>
      <c r="G58">
        <v>1</v>
      </c>
      <c r="H58">
        <v>1</v>
      </c>
      <c r="I58">
        <v>-1</v>
      </c>
      <c r="J58">
        <v>1157357.124469297</v>
      </c>
      <c r="K58">
        <f t="shared" ref="K58:Q58" si="58">J114+J115</f>
        <v>21905390.41736538</v>
      </c>
      <c r="L58">
        <f t="shared" si="58"/>
        <v>67537132.103021502</v>
      </c>
      <c r="M58">
        <f t="shared" si="58"/>
        <v>64275977.382036716</v>
      </c>
      <c r="N58">
        <f t="shared" si="58"/>
        <v>12877918.302583098</v>
      </c>
      <c r="O58">
        <f t="shared" si="58"/>
        <v>106735.64145921171</v>
      </c>
      <c r="P58">
        <f t="shared" si="58"/>
        <v>-343957.54517772794</v>
      </c>
      <c r="Q58">
        <f t="shared" si="58"/>
        <v>358355.6289024055</v>
      </c>
      <c r="R58">
        <f t="shared" si="35"/>
        <v>5599.3067016000859</v>
      </c>
    </row>
    <row r="59" spans="1:18" x14ac:dyDescent="0.25">
      <c r="A59">
        <v>58</v>
      </c>
      <c r="B59" t="s">
        <v>81</v>
      </c>
      <c r="C59">
        <v>1</v>
      </c>
      <c r="D59">
        <v>-1</v>
      </c>
      <c r="E59">
        <v>-1</v>
      </c>
      <c r="F59">
        <v>1</v>
      </c>
      <c r="G59">
        <v>1</v>
      </c>
      <c r="H59">
        <v>1</v>
      </c>
      <c r="I59">
        <v>-1</v>
      </c>
      <c r="J59">
        <v>20458341.471771311</v>
      </c>
      <c r="K59">
        <f t="shared" ref="K59:Q59" si="59">J116+J117</f>
        <v>118522600.40990254</v>
      </c>
      <c r="L59">
        <f t="shared" si="59"/>
        <v>60790115.791165188</v>
      </c>
      <c r="M59">
        <f t="shared" si="59"/>
        <v>64124663.75160034</v>
      </c>
      <c r="N59">
        <f t="shared" si="59"/>
        <v>13073012.223300368</v>
      </c>
      <c r="O59">
        <f t="shared" si="59"/>
        <v>118896.25662876666</v>
      </c>
      <c r="P59">
        <f t="shared" si="59"/>
        <v>-219287.96935015917</v>
      </c>
      <c r="Q59">
        <f t="shared" si="59"/>
        <v>184887.80375953019</v>
      </c>
      <c r="R59">
        <f t="shared" si="35"/>
        <v>2888.8719337426592</v>
      </c>
    </row>
    <row r="60" spans="1:18" x14ac:dyDescent="0.25">
      <c r="A60">
        <v>59</v>
      </c>
      <c r="B60" t="s">
        <v>82</v>
      </c>
      <c r="C60">
        <v>-1</v>
      </c>
      <c r="D60">
        <v>1</v>
      </c>
      <c r="E60">
        <v>-1</v>
      </c>
      <c r="F60">
        <v>1</v>
      </c>
      <c r="G60">
        <v>1</v>
      </c>
      <c r="H60">
        <v>1</v>
      </c>
      <c r="I60">
        <v>-1</v>
      </c>
      <c r="J60">
        <v>34377239.368859202</v>
      </c>
      <c r="K60">
        <f t="shared" ref="K60:Q60" si="60">J118+J119</f>
        <v>14114773.649133764</v>
      </c>
      <c r="L60">
        <f t="shared" si="60"/>
        <v>67061114.158135489</v>
      </c>
      <c r="M60">
        <f t="shared" si="60"/>
        <v>64237829.827801324</v>
      </c>
      <c r="N60">
        <f t="shared" si="60"/>
        <v>12789650.84015137</v>
      </c>
      <c r="O60">
        <f t="shared" si="60"/>
        <v>17549.323796957731</v>
      </c>
      <c r="P60">
        <f t="shared" si="60"/>
        <v>-225222.90232512355</v>
      </c>
      <c r="Q60">
        <f t="shared" si="60"/>
        <v>-9106.4783560931683</v>
      </c>
      <c r="R60">
        <f t="shared" si="35"/>
        <v>-142.28872431395575</v>
      </c>
    </row>
    <row r="61" spans="1:18" x14ac:dyDescent="0.25">
      <c r="A61">
        <v>60</v>
      </c>
      <c r="B61" t="s">
        <v>83</v>
      </c>
      <c r="C61">
        <v>1</v>
      </c>
      <c r="D61">
        <v>1</v>
      </c>
      <c r="E61">
        <v>-1</v>
      </c>
      <c r="F61">
        <v>1</v>
      </c>
      <c r="G61">
        <v>1</v>
      </c>
      <c r="H61">
        <v>1</v>
      </c>
      <c r="I61">
        <v>-1</v>
      </c>
      <c r="J61">
        <v>82455054.835405588</v>
      </c>
      <c r="K61">
        <f t="shared" ref="K61:Q61" si="61">J120+J121</f>
        <v>113296376.8423582</v>
      </c>
      <c r="L61">
        <f t="shared" si="61"/>
        <v>60418147.940380134</v>
      </c>
      <c r="M61">
        <f t="shared" si="61"/>
        <v>64054252.590726018</v>
      </c>
      <c r="N61">
        <f t="shared" si="61"/>
        <v>13078503.990523942</v>
      </c>
      <c r="O61">
        <f t="shared" si="61"/>
        <v>33218.781429678202</v>
      </c>
      <c r="P61">
        <f t="shared" si="61"/>
        <v>-132520.64782243967</v>
      </c>
      <c r="Q61">
        <f t="shared" si="61"/>
        <v>-141285.32968229055</v>
      </c>
      <c r="R61">
        <f t="shared" si="35"/>
        <v>-2207.5832762857899</v>
      </c>
    </row>
    <row r="62" spans="1:18" x14ac:dyDescent="0.25">
      <c r="A62">
        <v>61</v>
      </c>
      <c r="B62" t="s">
        <v>84</v>
      </c>
      <c r="C62">
        <v>-1</v>
      </c>
      <c r="D62">
        <v>-1</v>
      </c>
      <c r="E62">
        <v>1</v>
      </c>
      <c r="F62">
        <v>1</v>
      </c>
      <c r="G62">
        <v>1</v>
      </c>
      <c r="H62">
        <v>1</v>
      </c>
      <c r="I62">
        <v>-1</v>
      </c>
      <c r="J62">
        <v>634764.13662415254</v>
      </c>
      <c r="K62">
        <f t="shared" ref="K62:Q62" si="62">J122+J123</f>
        <v>21737668.841014821</v>
      </c>
      <c r="L62">
        <f t="shared" si="62"/>
        <v>67736731.407670066</v>
      </c>
      <c r="M62">
        <f t="shared" si="62"/>
        <v>64236478.873547703</v>
      </c>
      <c r="N62">
        <f t="shared" si="62"/>
        <v>12881102.845285613</v>
      </c>
      <c r="O62">
        <f t="shared" si="62"/>
        <v>-130504.70269243419</v>
      </c>
      <c r="P62">
        <f t="shared" si="62"/>
        <v>79644.34500643611</v>
      </c>
      <c r="Q62">
        <f t="shared" si="62"/>
        <v>-97452.953810542822</v>
      </c>
      <c r="R62">
        <f t="shared" si="35"/>
        <v>-1522.7024032897316</v>
      </c>
    </row>
    <row r="63" spans="1:18" x14ac:dyDescent="0.25">
      <c r="A63">
        <v>62</v>
      </c>
      <c r="B63" t="s">
        <v>85</v>
      </c>
      <c r="C63">
        <v>1</v>
      </c>
      <c r="D63">
        <v>-1</v>
      </c>
      <c r="E63">
        <v>1</v>
      </c>
      <c r="F63">
        <v>1</v>
      </c>
      <c r="G63">
        <v>1</v>
      </c>
      <c r="H63">
        <v>1</v>
      </c>
      <c r="I63">
        <v>-1</v>
      </c>
      <c r="J63">
        <v>13319083.22801125</v>
      </c>
      <c r="K63">
        <f t="shared" ref="K63:Q63" si="63">J124+J125</f>
        <v>117359244.8706108</v>
      </c>
      <c r="L63">
        <f t="shared" si="63"/>
        <v>60896136.85597147</v>
      </c>
      <c r="M63">
        <f t="shared" si="63"/>
        <v>64057480.984751731</v>
      </c>
      <c r="N63">
        <f t="shared" si="63"/>
        <v>13020763.608710062</v>
      </c>
      <c r="O63">
        <f t="shared" si="63"/>
        <v>-124199.09456541389</v>
      </c>
      <c r="P63">
        <f t="shared" si="63"/>
        <v>54902.425243914127</v>
      </c>
      <c r="Q63">
        <f t="shared" si="63"/>
        <v>-64878.735499605536</v>
      </c>
      <c r="R63">
        <f t="shared" si="35"/>
        <v>-1013.7302421813365</v>
      </c>
    </row>
    <row r="64" spans="1:18" x14ac:dyDescent="0.25">
      <c r="A64">
        <v>63</v>
      </c>
      <c r="B64" t="s">
        <v>86</v>
      </c>
      <c r="C64">
        <v>-1</v>
      </c>
      <c r="D64">
        <v>1</v>
      </c>
      <c r="E64">
        <v>1</v>
      </c>
      <c r="F64">
        <v>1</v>
      </c>
      <c r="G64">
        <v>1</v>
      </c>
      <c r="H64">
        <v>1</v>
      </c>
      <c r="I64">
        <v>-1</v>
      </c>
      <c r="J64">
        <v>31945369.320299741</v>
      </c>
      <c r="K64">
        <f t="shared" ref="K64:Q64" si="64">J126+J127</f>
        <v>14025444.907899048</v>
      </c>
      <c r="L64">
        <f t="shared" si="64"/>
        <v>67427175.423782766</v>
      </c>
      <c r="M64">
        <f t="shared" si="64"/>
        <v>64167619.513414219</v>
      </c>
      <c r="N64">
        <f t="shared" si="64"/>
        <v>12785040.155705526</v>
      </c>
      <c r="O64">
        <f t="shared" si="64"/>
        <v>-154228.87972144783</v>
      </c>
      <c r="P64">
        <f t="shared" si="64"/>
        <v>138843.80158174783</v>
      </c>
      <c r="Q64">
        <f t="shared" si="64"/>
        <v>51710.856490254402</v>
      </c>
      <c r="R64">
        <f t="shared" si="35"/>
        <v>807.98213266022503</v>
      </c>
    </row>
    <row r="65" spans="1:18" x14ac:dyDescent="0.25">
      <c r="A65">
        <v>64</v>
      </c>
      <c r="B65" t="s">
        <v>87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79935054.729464576</v>
      </c>
      <c r="K65">
        <f t="shared" ref="K65:Q65" si="65">J128+J129</f>
        <v>112249530.16139194</v>
      </c>
      <c r="L65">
        <f t="shared" si="65"/>
        <v>60616772.074074954</v>
      </c>
      <c r="M65">
        <f t="shared" si="65"/>
        <v>63918185.395331174</v>
      </c>
      <c r="N65">
        <f t="shared" si="65"/>
        <v>12996827.114340466</v>
      </c>
      <c r="O65">
        <f t="shared" si="65"/>
        <v>-185406.57768705115</v>
      </c>
      <c r="P65">
        <f t="shared" si="65"/>
        <v>107818.35574176535</v>
      </c>
      <c r="Q65">
        <f t="shared" si="65"/>
        <v>57423.277960259467</v>
      </c>
      <c r="R65">
        <f t="shared" si="35"/>
        <v>897.23871812905418</v>
      </c>
    </row>
    <row r="66" spans="1:18" x14ac:dyDescent="0.25">
      <c r="A66">
        <v>65</v>
      </c>
      <c r="B66" t="s">
        <v>88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1</v>
      </c>
      <c r="J66">
        <v>1222302.0238140151</v>
      </c>
      <c r="K66">
        <f t="shared" ref="K66:Q66" si="66">J3-J2</f>
        <v>19324604.53099886</v>
      </c>
      <c r="L66">
        <f t="shared" si="66"/>
        <v>96654297.956805646</v>
      </c>
      <c r="M66">
        <f t="shared" si="66"/>
        <v>-12814370.704097956</v>
      </c>
      <c r="N66">
        <f t="shared" si="66"/>
        <v>-2808278.4350093901</v>
      </c>
      <c r="O66">
        <f t="shared" si="66"/>
        <v>1530314.0354270935</v>
      </c>
      <c r="P66">
        <f t="shared" si="66"/>
        <v>-5045999.9713610411</v>
      </c>
      <c r="Q66">
        <f t="shared" si="66"/>
        <v>6485334.6556596756</v>
      </c>
      <c r="R66">
        <f t="shared" si="35"/>
        <v>101333.35399468243</v>
      </c>
    </row>
    <row r="67" spans="1:18" x14ac:dyDescent="0.25">
      <c r="A67">
        <v>66</v>
      </c>
      <c r="B67" t="s">
        <v>89</v>
      </c>
      <c r="C67">
        <v>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1</v>
      </c>
      <c r="J67">
        <v>20601791.24090381</v>
      </c>
      <c r="K67">
        <f t="shared" ref="K67:Q67" si="67">J5-J4</f>
        <v>48256189.23917754</v>
      </c>
      <c r="L67">
        <f t="shared" si="67"/>
        <v>99218619.956539154</v>
      </c>
      <c r="M67">
        <f t="shared" si="67"/>
        <v>-12450315.115235105</v>
      </c>
      <c r="N67">
        <f t="shared" si="67"/>
        <v>-2351506.9951488078</v>
      </c>
      <c r="O67">
        <f t="shared" si="67"/>
        <v>2183336.1061252356</v>
      </c>
      <c r="P67">
        <f t="shared" si="67"/>
        <v>-3748334.4132121801</v>
      </c>
      <c r="Q67">
        <f t="shared" si="67"/>
        <v>487370.91058754921</v>
      </c>
      <c r="R67">
        <f t="shared" ref="R67:R98" si="68">Q67/64</f>
        <v>7615.1704779304564</v>
      </c>
    </row>
    <row r="68" spans="1:18" x14ac:dyDescent="0.25">
      <c r="A68">
        <v>67</v>
      </c>
      <c r="B68" t="s">
        <v>90</v>
      </c>
      <c r="C68">
        <v>-1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1</v>
      </c>
      <c r="J68">
        <v>35178367.107151091</v>
      </c>
      <c r="K68">
        <f t="shared" ref="K68:Q68" si="69">J7-J6</f>
        <v>12727555.95648065</v>
      </c>
      <c r="L68">
        <f t="shared" si="69"/>
        <v>95664441.365284324</v>
      </c>
      <c r="M68">
        <f t="shared" si="69"/>
        <v>-12970301.92959407</v>
      </c>
      <c r="N68">
        <f t="shared" si="69"/>
        <v>-3610865.3652218282</v>
      </c>
      <c r="O68">
        <f t="shared" si="69"/>
        <v>1131071.3654102087</v>
      </c>
      <c r="P68">
        <f t="shared" si="69"/>
        <v>-809275.15343159437</v>
      </c>
      <c r="Q68">
        <f t="shared" si="69"/>
        <v>3887623.5640387535</v>
      </c>
      <c r="R68">
        <f t="shared" si="68"/>
        <v>60744.118188105524</v>
      </c>
    </row>
    <row r="69" spans="1:18" x14ac:dyDescent="0.25">
      <c r="A69">
        <v>68</v>
      </c>
      <c r="B69" t="s">
        <v>91</v>
      </c>
      <c r="C69">
        <v>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1</v>
      </c>
      <c r="J69">
        <v>83451652.250753805</v>
      </c>
      <c r="K69">
        <f t="shared" ref="K69:Q69" si="70">J9-J8</f>
        <v>48145103.965106688</v>
      </c>
      <c r="L69">
        <f t="shared" si="70"/>
        <v>98267366.787434563</v>
      </c>
      <c r="M69">
        <f t="shared" si="70"/>
        <v>-12744209.330389127</v>
      </c>
      <c r="N69">
        <f t="shared" si="70"/>
        <v>-2957994.6845409572</v>
      </c>
      <c r="O69">
        <f t="shared" si="70"/>
        <v>1668849.9698714614</v>
      </c>
      <c r="P69">
        <f t="shared" si="70"/>
        <v>-891573.38418793678</v>
      </c>
      <c r="Q69">
        <f t="shared" si="70"/>
        <v>-1080110.7507520914</v>
      </c>
      <c r="R69">
        <f t="shared" si="68"/>
        <v>-16876.730480501428</v>
      </c>
    </row>
    <row r="70" spans="1:18" x14ac:dyDescent="0.25">
      <c r="A70">
        <v>69</v>
      </c>
      <c r="B70" t="s">
        <v>92</v>
      </c>
      <c r="C70">
        <v>-1</v>
      </c>
      <c r="D70">
        <v>-1</v>
      </c>
      <c r="E70">
        <v>1</v>
      </c>
      <c r="F70">
        <v>-1</v>
      </c>
      <c r="G70">
        <v>-1</v>
      </c>
      <c r="H70">
        <v>-1</v>
      </c>
      <c r="I70">
        <v>1</v>
      </c>
      <c r="J70">
        <v>670046.47421825514</v>
      </c>
      <c r="K70">
        <f t="shared" ref="K70:Q70" si="71">J11-J10</f>
        <v>19105020.600847062</v>
      </c>
      <c r="L70">
        <f t="shared" si="71"/>
        <v>96707078.891707078</v>
      </c>
      <c r="M70">
        <f t="shared" si="71"/>
        <v>-12684534.449614987</v>
      </c>
      <c r="N70">
        <f t="shared" si="71"/>
        <v>-2261219.2394486666</v>
      </c>
      <c r="O70">
        <f t="shared" si="71"/>
        <v>763609.58300682902</v>
      </c>
      <c r="P70">
        <f t="shared" si="71"/>
        <v>-3226811.5444803238</v>
      </c>
      <c r="Q70">
        <f t="shared" si="71"/>
        <v>-1425133.8225992024</v>
      </c>
      <c r="R70">
        <f t="shared" si="68"/>
        <v>-22267.715978112537</v>
      </c>
    </row>
    <row r="71" spans="1:18" x14ac:dyDescent="0.25">
      <c r="A71">
        <v>70</v>
      </c>
      <c r="B71" t="s">
        <v>93</v>
      </c>
      <c r="C71">
        <v>1</v>
      </c>
      <c r="D71">
        <v>-1</v>
      </c>
      <c r="E71">
        <v>1</v>
      </c>
      <c r="F71">
        <v>-1</v>
      </c>
      <c r="G71">
        <v>-1</v>
      </c>
      <c r="H71">
        <v>-1</v>
      </c>
      <c r="I71">
        <v>1</v>
      </c>
      <c r="J71">
        <v>13418407.60208088</v>
      </c>
      <c r="K71">
        <f t="shared" ref="K71:Q71" si="72">J13-J12</f>
        <v>48034630.882037833</v>
      </c>
      <c r="L71">
        <f t="shared" si="72"/>
        <v>99304816.723790079</v>
      </c>
      <c r="M71">
        <f t="shared" si="72"/>
        <v>-12193729.012143761</v>
      </c>
      <c r="N71">
        <f t="shared" si="72"/>
        <v>-1929299.498359561</v>
      </c>
      <c r="O71">
        <f t="shared" si="72"/>
        <v>1093635.0793262124</v>
      </c>
      <c r="P71">
        <f t="shared" si="72"/>
        <v>-2975510.0256808996</v>
      </c>
      <c r="Q71">
        <f t="shared" si="72"/>
        <v>-727399.82141195238</v>
      </c>
      <c r="R71">
        <f t="shared" si="68"/>
        <v>-11365.622209561756</v>
      </c>
    </row>
    <row r="72" spans="1:18" x14ac:dyDescent="0.25">
      <c r="A72">
        <v>71</v>
      </c>
      <c r="B72" t="s">
        <v>94</v>
      </c>
      <c r="C72">
        <v>-1</v>
      </c>
      <c r="D72">
        <v>1</v>
      </c>
      <c r="E72">
        <v>1</v>
      </c>
      <c r="F72">
        <v>-1</v>
      </c>
      <c r="G72">
        <v>-1</v>
      </c>
      <c r="H72">
        <v>-1</v>
      </c>
      <c r="I72">
        <v>1</v>
      </c>
      <c r="J72">
        <v>32650059.328368459</v>
      </c>
      <c r="K72">
        <f t="shared" ref="K72:Q72" si="73">J15-J14</f>
        <v>12624278.517190123</v>
      </c>
      <c r="L72">
        <f t="shared" si="73"/>
        <v>95752271.057856917</v>
      </c>
      <c r="M72">
        <f t="shared" si="73"/>
        <v>-12898532.268057078</v>
      </c>
      <c r="N72">
        <f t="shared" si="73"/>
        <v>-2961428.6670144796</v>
      </c>
      <c r="O72">
        <f t="shared" si="73"/>
        <v>575435.05310606956</v>
      </c>
      <c r="P72">
        <f t="shared" si="73"/>
        <v>272490.54800310731</v>
      </c>
      <c r="Q72">
        <f t="shared" si="73"/>
        <v>-508255.04932168126</v>
      </c>
      <c r="R72">
        <f t="shared" si="68"/>
        <v>-7941.4851456512697</v>
      </c>
    </row>
    <row r="73" spans="1:18" x14ac:dyDescent="0.25">
      <c r="A73">
        <v>72</v>
      </c>
      <c r="B73" t="s">
        <v>95</v>
      </c>
      <c r="C73">
        <v>1</v>
      </c>
      <c r="D73">
        <v>1</v>
      </c>
      <c r="E73">
        <v>1</v>
      </c>
      <c r="F73">
        <v>-1</v>
      </c>
      <c r="G73">
        <v>-1</v>
      </c>
      <c r="H73">
        <v>-1</v>
      </c>
      <c r="I73">
        <v>1</v>
      </c>
      <c r="J73">
        <v>80780601.911754876</v>
      </c>
      <c r="K73">
        <f t="shared" ref="K73:Q73" si="74">J17-J16</f>
        <v>47945843.800516635</v>
      </c>
      <c r="L73">
        <f t="shared" si="74"/>
        <v>98418141.108982399</v>
      </c>
      <c r="M73">
        <f t="shared" si="74"/>
        <v>-12613721.386105672</v>
      </c>
      <c r="N73">
        <f t="shared" si="74"/>
        <v>-2467252.5378432572</v>
      </c>
      <c r="O73">
        <f t="shared" si="74"/>
        <v>870305.76879695058</v>
      </c>
      <c r="P73">
        <f t="shared" si="74"/>
        <v>-312958.78511953354</v>
      </c>
      <c r="Q73">
        <f t="shared" si="74"/>
        <v>-135351.63251710683</v>
      </c>
      <c r="R73">
        <f t="shared" si="68"/>
        <v>-2114.8692580797942</v>
      </c>
    </row>
    <row r="74" spans="1:18" x14ac:dyDescent="0.25">
      <c r="A74">
        <v>73</v>
      </c>
      <c r="B74" t="s">
        <v>96</v>
      </c>
      <c r="C74">
        <v>-1</v>
      </c>
      <c r="D74">
        <v>-1</v>
      </c>
      <c r="E74">
        <v>-1</v>
      </c>
      <c r="F74">
        <v>1</v>
      </c>
      <c r="G74">
        <v>-1</v>
      </c>
      <c r="H74">
        <v>-1</v>
      </c>
      <c r="I74">
        <v>1</v>
      </c>
      <c r="J74">
        <v>1192434.967716987</v>
      </c>
      <c r="K74">
        <f t="shared" ref="K74:Q74" si="75">J19-J18</f>
        <v>19453640.88896532</v>
      </c>
      <c r="L74">
        <f t="shared" si="75"/>
        <v>96353113.184646115</v>
      </c>
      <c r="M74">
        <f t="shared" si="75"/>
        <v>-12934997.306200266</v>
      </c>
      <c r="N74">
        <f t="shared" si="75"/>
        <v>-743679.89117208123</v>
      </c>
      <c r="O74">
        <f t="shared" si="75"/>
        <v>377581.71627277136</v>
      </c>
      <c r="P74">
        <f t="shared" si="75"/>
        <v>588679.96339476109</v>
      </c>
      <c r="Q74">
        <f t="shared" si="75"/>
        <v>2109445.5372550189</v>
      </c>
      <c r="R74">
        <f t="shared" si="68"/>
        <v>32960.086519609671</v>
      </c>
    </row>
    <row r="75" spans="1:18" x14ac:dyDescent="0.25">
      <c r="A75">
        <v>74</v>
      </c>
      <c r="B75" t="s">
        <v>97</v>
      </c>
      <c r="C75">
        <v>1</v>
      </c>
      <c r="D75">
        <v>-1</v>
      </c>
      <c r="E75">
        <v>-1</v>
      </c>
      <c r="F75">
        <v>1</v>
      </c>
      <c r="G75">
        <v>-1</v>
      </c>
      <c r="H75">
        <v>-1</v>
      </c>
      <c r="I75">
        <v>1</v>
      </c>
      <c r="J75">
        <v>20399795.037284382</v>
      </c>
      <c r="K75">
        <f t="shared" ref="K75:Q75" si="76">J21-J20</f>
        <v>48308473.022877276</v>
      </c>
      <c r="L75">
        <f t="shared" si="76"/>
        <v>98920390.71351023</v>
      </c>
      <c r="M75">
        <f t="shared" si="76"/>
        <v>-12687498.478126928</v>
      </c>
      <c r="N75">
        <f t="shared" si="76"/>
        <v>-516227.63559997082</v>
      </c>
      <c r="O75">
        <f t="shared" si="76"/>
        <v>368921.14084458351</v>
      </c>
      <c r="P75">
        <f t="shared" si="76"/>
        <v>315869.99771663547</v>
      </c>
      <c r="Q75">
        <f t="shared" si="76"/>
        <v>155898.88942311704</v>
      </c>
      <c r="R75">
        <f t="shared" si="68"/>
        <v>2435.9201472362038</v>
      </c>
    </row>
    <row r="76" spans="1:18" x14ac:dyDescent="0.25">
      <c r="A76">
        <v>75</v>
      </c>
      <c r="B76" t="s">
        <v>98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1</v>
      </c>
      <c r="J76">
        <v>34767095.148315087</v>
      </c>
      <c r="K76">
        <f t="shared" ref="K76:Q76" si="77">J23-J22</f>
        <v>12774915.997942969</v>
      </c>
      <c r="L76">
        <f t="shared" si="77"/>
        <v>95160239.400196552</v>
      </c>
      <c r="M76">
        <f t="shared" si="77"/>
        <v>-13042714.380411088</v>
      </c>
      <c r="N76">
        <f t="shared" si="77"/>
        <v>-906710.57801657915</v>
      </c>
      <c r="O76">
        <f t="shared" si="77"/>
        <v>369531.73674428463</v>
      </c>
      <c r="P76">
        <f t="shared" si="77"/>
        <v>234065.42201150954</v>
      </c>
      <c r="Q76">
        <f t="shared" si="77"/>
        <v>1331614.1061069667</v>
      </c>
      <c r="R76">
        <f t="shared" si="68"/>
        <v>20806.470407921355</v>
      </c>
    </row>
    <row r="77" spans="1:18" x14ac:dyDescent="0.25">
      <c r="A77">
        <v>76</v>
      </c>
      <c r="B77" t="s">
        <v>99</v>
      </c>
      <c r="C77">
        <v>1</v>
      </c>
      <c r="D77">
        <v>1</v>
      </c>
      <c r="E77">
        <v>-1</v>
      </c>
      <c r="F77">
        <v>1</v>
      </c>
      <c r="G77">
        <v>-1</v>
      </c>
      <c r="H77">
        <v>-1</v>
      </c>
      <c r="I77">
        <v>1</v>
      </c>
      <c r="J77">
        <v>82840428.435545281</v>
      </c>
      <c r="K77">
        <f t="shared" ref="K77:Q77" si="78">J25-J24</f>
        <v>48184502.445695519</v>
      </c>
      <c r="L77">
        <f t="shared" si="78"/>
        <v>97761907.283184707</v>
      </c>
      <c r="M77">
        <f t="shared" si="78"/>
        <v>-12890148.843038514</v>
      </c>
      <c r="N77">
        <f t="shared" si="78"/>
        <v>-581603.61800539494</v>
      </c>
      <c r="O77">
        <f t="shared" si="78"/>
        <v>459264.09236210585</v>
      </c>
      <c r="P77">
        <f t="shared" si="78"/>
        <v>75813.37411673367</v>
      </c>
      <c r="Q77">
        <f t="shared" si="78"/>
        <v>-310268.28979316354</v>
      </c>
      <c r="R77">
        <f t="shared" si="68"/>
        <v>-4847.9420280181803</v>
      </c>
    </row>
    <row r="78" spans="1:18" x14ac:dyDescent="0.25">
      <c r="A78">
        <v>77</v>
      </c>
      <c r="B78" t="s">
        <v>100</v>
      </c>
      <c r="C78">
        <v>-1</v>
      </c>
      <c r="D78">
        <v>-1</v>
      </c>
      <c r="E78">
        <v>1</v>
      </c>
      <c r="F78">
        <v>1</v>
      </c>
      <c r="G78">
        <v>-1</v>
      </c>
      <c r="H78">
        <v>-1</v>
      </c>
      <c r="I78">
        <v>1</v>
      </c>
      <c r="J78">
        <v>657295.07487557898</v>
      </c>
      <c r="K78">
        <f t="shared" ref="K78:Q78" si="79">J27-J26</f>
        <v>19350024.166938309</v>
      </c>
      <c r="L78">
        <f t="shared" si="79"/>
        <v>96397962.127314538</v>
      </c>
      <c r="M78">
        <f t="shared" si="79"/>
        <v>-12859983.202020139</v>
      </c>
      <c r="N78">
        <f t="shared" si="79"/>
        <v>-663624.10124140978</v>
      </c>
      <c r="O78">
        <f t="shared" si="79"/>
        <v>-260562.30166491866</v>
      </c>
      <c r="P78">
        <f t="shared" si="79"/>
        <v>73546.35846477747</v>
      </c>
      <c r="Q78">
        <f t="shared" si="79"/>
        <v>-451542.07651251554</v>
      </c>
      <c r="R78">
        <f t="shared" si="68"/>
        <v>-7055.3449455080554</v>
      </c>
    </row>
    <row r="79" spans="1:18" x14ac:dyDescent="0.25">
      <c r="A79">
        <v>78</v>
      </c>
      <c r="B79" t="s">
        <v>101</v>
      </c>
      <c r="C79">
        <v>1</v>
      </c>
      <c r="D79">
        <v>-1</v>
      </c>
      <c r="E79">
        <v>1</v>
      </c>
      <c r="F79">
        <v>1</v>
      </c>
      <c r="G79">
        <v>-1</v>
      </c>
      <c r="H79">
        <v>-1</v>
      </c>
      <c r="I79">
        <v>1</v>
      </c>
      <c r="J79">
        <v>13321630.114858091</v>
      </c>
      <c r="K79">
        <f t="shared" ref="K79:Q79" si="80">J29-J28</f>
        <v>48128558.911204711</v>
      </c>
      <c r="L79">
        <f t="shared" si="80"/>
        <v>99023437.301914543</v>
      </c>
      <c r="M79">
        <f t="shared" si="80"/>
        <v>-12540726.829929441</v>
      </c>
      <c r="N79">
        <f t="shared" si="80"/>
        <v>-491792.17067462206</v>
      </c>
      <c r="O79">
        <f t="shared" si="80"/>
        <v>-523502.07383692265</v>
      </c>
      <c r="P79">
        <f t="shared" si="80"/>
        <v>14387.595555186272</v>
      </c>
      <c r="Q79">
        <f t="shared" si="80"/>
        <v>-258439.70688609779</v>
      </c>
      <c r="R79">
        <f t="shared" si="68"/>
        <v>-4038.120420095278</v>
      </c>
    </row>
    <row r="80" spans="1:18" x14ac:dyDescent="0.25">
      <c r="A80">
        <v>79</v>
      </c>
      <c r="B80" t="s">
        <v>102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1</v>
      </c>
      <c r="J80">
        <v>32305152.17354054</v>
      </c>
      <c r="K80">
        <f t="shared" ref="K80:Q80" si="81">J31-J30</f>
        <v>12714964.494005959</v>
      </c>
      <c r="L80">
        <f t="shared" si="81"/>
        <v>95216595.60802418</v>
      </c>
      <c r="M80">
        <f t="shared" si="81"/>
        <v>-13016840.335775942</v>
      </c>
      <c r="N80">
        <f t="shared" si="81"/>
        <v>-847985.79567106068</v>
      </c>
      <c r="O80">
        <f t="shared" si="81"/>
        <v>-108558.71510972083</v>
      </c>
      <c r="P80">
        <f t="shared" si="81"/>
        <v>-82775.695208154619</v>
      </c>
      <c r="Q80">
        <f t="shared" si="81"/>
        <v>-174863.79286134243</v>
      </c>
      <c r="R80">
        <f t="shared" si="68"/>
        <v>-2732.2467634584755</v>
      </c>
    </row>
    <row r="81" spans="1:18" x14ac:dyDescent="0.25">
      <c r="A81">
        <v>80</v>
      </c>
      <c r="B81" t="s">
        <v>103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  <c r="I81">
        <v>1</v>
      </c>
      <c r="J81">
        <v>80228177.747460589</v>
      </c>
      <c r="K81">
        <f t="shared" ref="K81:Q81" si="82">J33-J32</f>
        <v>48011757.147732139</v>
      </c>
      <c r="L81">
        <f t="shared" si="82"/>
        <v>97926576.685128912</v>
      </c>
      <c r="M81">
        <f t="shared" si="82"/>
        <v>-12821938.64233464</v>
      </c>
      <c r="N81">
        <f t="shared" si="82"/>
        <v>-588920.76578381658</v>
      </c>
      <c r="O81">
        <f t="shared" si="82"/>
        <v>-208154.94955404103</v>
      </c>
      <c r="P81">
        <f t="shared" si="82"/>
        <v>-119999.18394968286</v>
      </c>
      <c r="Q81">
        <f t="shared" si="82"/>
        <v>-84931.660150650889</v>
      </c>
      <c r="R81">
        <f t="shared" si="68"/>
        <v>-1327.0571898539201</v>
      </c>
    </row>
    <row r="82" spans="1:18" x14ac:dyDescent="0.25">
      <c r="A82">
        <v>81</v>
      </c>
      <c r="B82" t="s">
        <v>104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1227957.9770354771</v>
      </c>
      <c r="K82">
        <f t="shared" ref="K82:Q82" si="83">J35-J34</f>
        <v>19233102.126340233</v>
      </c>
      <c r="L82">
        <f t="shared" si="83"/>
        <v>96805926.093187064</v>
      </c>
      <c r="M82">
        <f t="shared" si="83"/>
        <v>-6708133.8485890552</v>
      </c>
      <c r="N82">
        <f t="shared" si="83"/>
        <v>-1941109.7606258988</v>
      </c>
      <c r="O82">
        <f t="shared" si="83"/>
        <v>-449825.44065013528</v>
      </c>
      <c r="P82">
        <f t="shared" si="83"/>
        <v>-1409074.6196045876</v>
      </c>
      <c r="Q82">
        <f t="shared" si="83"/>
        <v>-913728.80627065897</v>
      </c>
      <c r="R82">
        <f t="shared" si="68"/>
        <v>-14277.012597979046</v>
      </c>
    </row>
    <row r="83" spans="1:18" x14ac:dyDescent="0.25">
      <c r="A83">
        <v>82</v>
      </c>
      <c r="B83" t="s">
        <v>105</v>
      </c>
      <c r="C83">
        <v>1</v>
      </c>
      <c r="D83">
        <v>-1</v>
      </c>
      <c r="E83">
        <v>-1</v>
      </c>
      <c r="F83">
        <v>-1</v>
      </c>
      <c r="G83">
        <v>1</v>
      </c>
      <c r="H83">
        <v>-1</v>
      </c>
      <c r="I83">
        <v>1</v>
      </c>
      <c r="J83">
        <v>20695719.283303931</v>
      </c>
      <c r="K83">
        <f t="shared" ref="K83:Q83" si="84">J37-J36</f>
        <v>48223473.840155177</v>
      </c>
      <c r="L83">
        <f t="shared" si="84"/>
        <v>99342207.163824201</v>
      </c>
      <c r="M83">
        <f t="shared" si="84"/>
        <v>-6569529.1651781425</v>
      </c>
      <c r="N83">
        <f t="shared" si="84"/>
        <v>-1841483.4486578703</v>
      </c>
      <c r="O83">
        <f t="shared" si="84"/>
        <v>-633990.19240400195</v>
      </c>
      <c r="P83">
        <f t="shared" si="84"/>
        <v>-1238162.4670495093</v>
      </c>
      <c r="Q83">
        <f t="shared" si="84"/>
        <v>-411503.84043002129</v>
      </c>
      <c r="R83">
        <f t="shared" si="68"/>
        <v>-6429.7475067190826</v>
      </c>
    </row>
    <row r="84" spans="1:18" x14ac:dyDescent="0.25">
      <c r="A84">
        <v>83</v>
      </c>
      <c r="B84" t="s">
        <v>106</v>
      </c>
      <c r="C84">
        <v>-1</v>
      </c>
      <c r="D84">
        <v>1</v>
      </c>
      <c r="E84">
        <v>-1</v>
      </c>
      <c r="F84">
        <v>-1</v>
      </c>
      <c r="G84">
        <v>1</v>
      </c>
      <c r="H84">
        <v>-1</v>
      </c>
      <c r="I84">
        <v>1</v>
      </c>
      <c r="J84">
        <v>35233618.327111863</v>
      </c>
      <c r="K84">
        <f t="shared" ref="K84:Q84" si="85">J39-J38</f>
        <v>12678494.010904051</v>
      </c>
      <c r="L84">
        <f t="shared" si="85"/>
        <v>96015293.578859001</v>
      </c>
      <c r="M84">
        <f t="shared" si="85"/>
        <v>-6802695.4682041109</v>
      </c>
      <c r="N84">
        <f t="shared" si="85"/>
        <v>-2351357.2147750854</v>
      </c>
      <c r="O84">
        <f t="shared" si="85"/>
        <v>-310367.43912240863</v>
      </c>
      <c r="P84">
        <f t="shared" si="85"/>
        <v>-228406.66924992204</v>
      </c>
      <c r="Q84">
        <f t="shared" si="85"/>
        <v>82292.971989035606</v>
      </c>
      <c r="R84">
        <f t="shared" si="68"/>
        <v>1285.8276873286813</v>
      </c>
    </row>
    <row r="85" spans="1:18" x14ac:dyDescent="0.25">
      <c r="A85">
        <v>84</v>
      </c>
      <c r="B85" t="s">
        <v>107</v>
      </c>
      <c r="C85">
        <v>1</v>
      </c>
      <c r="D85">
        <v>1</v>
      </c>
      <c r="E85">
        <v>-1</v>
      </c>
      <c r="F85">
        <v>-1</v>
      </c>
      <c r="G85">
        <v>1</v>
      </c>
      <c r="H85">
        <v>-1</v>
      </c>
      <c r="I85">
        <v>1</v>
      </c>
      <c r="J85">
        <v>83550463.478357136</v>
      </c>
      <c r="K85">
        <f t="shared" ref="K85:Q85" si="86">J41-J40</f>
        <v>48115073.895348772</v>
      </c>
      <c r="L85">
        <f t="shared" si="86"/>
        <v>98554404.731267467</v>
      </c>
      <c r="M85">
        <f t="shared" si="86"/>
        <v>-6751861.4364049137</v>
      </c>
      <c r="N85">
        <f t="shared" si="86"/>
        <v>-2278227.1360759735</v>
      </c>
      <c r="O85">
        <f t="shared" si="86"/>
        <v>-438068.94616100192</v>
      </c>
      <c r="P85">
        <f t="shared" si="86"/>
        <v>-281490.28953884542</v>
      </c>
      <c r="Q85">
        <f t="shared" si="86"/>
        <v>467350.71083807945</v>
      </c>
      <c r="R85">
        <f t="shared" si="68"/>
        <v>7302.3548568449914</v>
      </c>
    </row>
    <row r="86" spans="1:18" x14ac:dyDescent="0.25">
      <c r="A86">
        <v>85</v>
      </c>
      <c r="B86" t="s">
        <v>108</v>
      </c>
      <c r="C86">
        <v>-1</v>
      </c>
      <c r="D86">
        <v>-1</v>
      </c>
      <c r="E86">
        <v>1</v>
      </c>
      <c r="F86">
        <v>-1</v>
      </c>
      <c r="G86">
        <v>1</v>
      </c>
      <c r="H86">
        <v>-1</v>
      </c>
      <c r="I86">
        <v>1</v>
      </c>
      <c r="J86">
        <v>671603.77474682394</v>
      </c>
      <c r="K86">
        <f t="shared" ref="K86:Q86" si="87">J43-J42</f>
        <v>18921814.470853269</v>
      </c>
      <c r="L86">
        <f t="shared" si="87"/>
        <v>96860404.545129597</v>
      </c>
      <c r="M86">
        <f t="shared" si="87"/>
        <v>-6663008.0602425858</v>
      </c>
      <c r="N86">
        <f t="shared" si="87"/>
        <v>-1578434.9468847811</v>
      </c>
      <c r="O86">
        <f t="shared" si="87"/>
        <v>-276893.8908418268</v>
      </c>
      <c r="P86">
        <f t="shared" si="87"/>
        <v>-846991.14156728983</v>
      </c>
      <c r="Q86">
        <f t="shared" si="87"/>
        <v>335379.24777072668</v>
      </c>
      <c r="R86">
        <f t="shared" si="68"/>
        <v>5240.3007464176044</v>
      </c>
    </row>
    <row r="87" spans="1:18" x14ac:dyDescent="0.25">
      <c r="A87">
        <v>86</v>
      </c>
      <c r="B87" t="s">
        <v>109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  <c r="I87">
        <v>1</v>
      </c>
      <c r="J87">
        <v>13451667.37118331</v>
      </c>
      <c r="K87">
        <f t="shared" ref="K87:Q87" si="88">J45-J44</f>
        <v>47970629.057667419</v>
      </c>
      <c r="L87">
        <f t="shared" si="88"/>
        <v>99418502.393537074</v>
      </c>
      <c r="M87">
        <f t="shared" si="88"/>
        <v>-6441453.7623097226</v>
      </c>
      <c r="N87">
        <f t="shared" si="88"/>
        <v>-1470450.5734513104</v>
      </c>
      <c r="O87">
        <f t="shared" si="88"/>
        <v>-389230.85126009583</v>
      </c>
      <c r="P87">
        <f t="shared" si="88"/>
        <v>-982792.41335567832</v>
      </c>
      <c r="Q87">
        <f t="shared" si="88"/>
        <v>222722.3498493433</v>
      </c>
      <c r="R87">
        <f t="shared" si="68"/>
        <v>3480.0367163959891</v>
      </c>
    </row>
    <row r="88" spans="1:18" x14ac:dyDescent="0.25">
      <c r="A88">
        <v>87</v>
      </c>
      <c r="B88" t="s">
        <v>110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32686481.980103102</v>
      </c>
      <c r="K88">
        <f t="shared" ref="K88:Q88" si="89">J47-J46</f>
        <v>12529366.25493761</v>
      </c>
      <c r="L88">
        <f t="shared" si="89"/>
        <v>96117819.63739112</v>
      </c>
      <c r="M88">
        <f t="shared" si="89"/>
        <v>-6788897.3605159298</v>
      </c>
      <c r="N88">
        <f t="shared" si="89"/>
        <v>-2078526.031019032</v>
      </c>
      <c r="O88">
        <f t="shared" si="89"/>
        <v>-182387.02045784146</v>
      </c>
      <c r="P88">
        <f t="shared" si="89"/>
        <v>121042.08732115477</v>
      </c>
      <c r="Q88">
        <f t="shared" si="89"/>
        <v>-94238.493655264378</v>
      </c>
      <c r="R88">
        <f t="shared" si="68"/>
        <v>-1472.4764633635059</v>
      </c>
    </row>
    <row r="89" spans="1:18" x14ac:dyDescent="0.25">
      <c r="A89">
        <v>88</v>
      </c>
      <c r="B89" t="s">
        <v>111</v>
      </c>
      <c r="C89">
        <v>1</v>
      </c>
      <c r="D89">
        <v>1</v>
      </c>
      <c r="E89">
        <v>1</v>
      </c>
      <c r="F89">
        <v>-1</v>
      </c>
      <c r="G89">
        <v>1</v>
      </c>
      <c r="H89">
        <v>-1</v>
      </c>
      <c r="I89">
        <v>1</v>
      </c>
      <c r="J89">
        <v>80855291.559364095</v>
      </c>
      <c r="K89">
        <f t="shared" ref="K89:Q89" si="90">J49-J48</f>
        <v>47921623.511273354</v>
      </c>
      <c r="L89">
        <f t="shared" si="90"/>
        <v>98690636.727824226</v>
      </c>
      <c r="M89">
        <f t="shared" si="90"/>
        <v>-6704795.3132964745</v>
      </c>
      <c r="N89">
        <f t="shared" si="90"/>
        <v>-1953151.9026727378</v>
      </c>
      <c r="O89">
        <f t="shared" si="90"/>
        <v>-261015.37179473788</v>
      </c>
      <c r="P89">
        <f t="shared" si="90"/>
        <v>-93541.139367334545</v>
      </c>
      <c r="Q89">
        <f t="shared" si="90"/>
        <v>-132499.34903045371</v>
      </c>
      <c r="R89">
        <f t="shared" si="68"/>
        <v>-2070.3023286008392</v>
      </c>
    </row>
    <row r="90" spans="1:18" x14ac:dyDescent="0.25">
      <c r="A90">
        <v>89</v>
      </c>
      <c r="B90" t="s">
        <v>112</v>
      </c>
      <c r="C90">
        <v>-1</v>
      </c>
      <c r="D90">
        <v>-1</v>
      </c>
      <c r="E90">
        <v>-1</v>
      </c>
      <c r="F90">
        <v>1</v>
      </c>
      <c r="G90">
        <v>1</v>
      </c>
      <c r="H90">
        <v>-1</v>
      </c>
      <c r="I90">
        <v>1</v>
      </c>
      <c r="J90">
        <v>1201952.543431177</v>
      </c>
      <c r="K90">
        <f t="shared" ref="K90:Q90" si="91">J51-J50</f>
        <v>19427737.538590431</v>
      </c>
      <c r="L90">
        <f t="shared" si="91"/>
        <v>96551261.708217561</v>
      </c>
      <c r="M90">
        <f t="shared" si="91"/>
        <v>-6773870.649443455</v>
      </c>
      <c r="N90">
        <f t="shared" si="91"/>
        <v>-97957.152287423611</v>
      </c>
      <c r="O90">
        <f t="shared" si="91"/>
        <v>96360.461324736476</v>
      </c>
      <c r="P90">
        <f t="shared" si="91"/>
        <v>185468.13135483861</v>
      </c>
      <c r="Q90">
        <f t="shared" si="91"/>
        <v>-283546.25028112531</v>
      </c>
      <c r="R90">
        <f t="shared" si="68"/>
        <v>-4430.4101606425829</v>
      </c>
    </row>
    <row r="91" spans="1:18" x14ac:dyDescent="0.25">
      <c r="A91">
        <v>90</v>
      </c>
      <c r="B91" t="s">
        <v>113</v>
      </c>
      <c r="C91">
        <v>1</v>
      </c>
      <c r="D91">
        <v>-1</v>
      </c>
      <c r="E91">
        <v>-1</v>
      </c>
      <c r="F91">
        <v>1</v>
      </c>
      <c r="G91">
        <v>1</v>
      </c>
      <c r="H91">
        <v>-1</v>
      </c>
      <c r="I91">
        <v>1</v>
      </c>
      <c r="J91">
        <v>20572550.911844429</v>
      </c>
      <c r="K91">
        <f t="shared" ref="K91:Q91" si="92">J53-J52</f>
        <v>48283915.1078704</v>
      </c>
      <c r="L91">
        <f t="shared" si="92"/>
        <v>99080606.495536149</v>
      </c>
      <c r="M91">
        <f t="shared" si="92"/>
        <v>-6693332.7428950295</v>
      </c>
      <c r="N91">
        <f t="shared" si="92"/>
        <v>-189091.18367192149</v>
      </c>
      <c r="O91">
        <f t="shared" si="92"/>
        <v>166510.83985246718</v>
      </c>
      <c r="P91">
        <f t="shared" si="92"/>
        <v>114093.70008608699</v>
      </c>
      <c r="Q91">
        <f t="shared" si="92"/>
        <v>-121662.2551292628</v>
      </c>
      <c r="R91">
        <f t="shared" si="68"/>
        <v>-1900.9727363947313</v>
      </c>
    </row>
    <row r="92" spans="1:18" x14ac:dyDescent="0.25">
      <c r="A92">
        <v>91</v>
      </c>
      <c r="B92" t="s">
        <v>114</v>
      </c>
      <c r="C92">
        <v>-1</v>
      </c>
      <c r="D92">
        <v>1</v>
      </c>
      <c r="E92">
        <v>-1</v>
      </c>
      <c r="F92">
        <v>1</v>
      </c>
      <c r="G92">
        <v>1</v>
      </c>
      <c r="H92">
        <v>-1</v>
      </c>
      <c r="I92">
        <v>1</v>
      </c>
      <c r="J92">
        <v>34867574.58216083</v>
      </c>
      <c r="K92">
        <f t="shared" ref="K92:Q92" si="93">J55-J54</f>
        <v>12758304.462337172</v>
      </c>
      <c r="L92">
        <f t="shared" si="93"/>
        <v>95514447.313598022</v>
      </c>
      <c r="M92">
        <f t="shared" si="93"/>
        <v>-6835733.2818162441</v>
      </c>
      <c r="N92">
        <f t="shared" si="93"/>
        <v>14120.244890227914</v>
      </c>
      <c r="O92">
        <f t="shared" si="93"/>
        <v>55522.715794980526</v>
      </c>
      <c r="P92">
        <f t="shared" si="93"/>
        <v>116217.62994220853</v>
      </c>
      <c r="Q92">
        <f t="shared" si="93"/>
        <v>60602.111112624407</v>
      </c>
      <c r="R92">
        <f t="shared" si="68"/>
        <v>946.90798613475636</v>
      </c>
    </row>
    <row r="93" spans="1:18" x14ac:dyDescent="0.25">
      <c r="A93">
        <v>92</v>
      </c>
      <c r="B93" t="s">
        <v>115</v>
      </c>
      <c r="C93">
        <v>1</v>
      </c>
      <c r="D93">
        <v>1</v>
      </c>
      <c r="E93">
        <v>-1</v>
      </c>
      <c r="F93">
        <v>1</v>
      </c>
      <c r="G93">
        <v>1</v>
      </c>
      <c r="H93">
        <v>-1</v>
      </c>
      <c r="I93">
        <v>1</v>
      </c>
      <c r="J93">
        <v>83024748.5105059</v>
      </c>
      <c r="K93">
        <f t="shared" ref="K93:Q93" si="94">J57-J56</f>
        <v>48164450.823607728</v>
      </c>
      <c r="L93">
        <f t="shared" si="94"/>
        <v>98038894.859136641</v>
      </c>
      <c r="M93">
        <f t="shared" si="94"/>
        <v>-6813857.1309800819</v>
      </c>
      <c r="N93">
        <f t="shared" si="94"/>
        <v>-180126.49352841824</v>
      </c>
      <c r="O93">
        <f t="shared" si="94"/>
        <v>113110.09172695875</v>
      </c>
      <c r="P93">
        <f t="shared" si="94"/>
        <v>31827.238707154989</v>
      </c>
      <c r="Q93">
        <f t="shared" si="94"/>
        <v>182680.93387714028</v>
      </c>
      <c r="R93">
        <f t="shared" si="68"/>
        <v>2854.3895918303169</v>
      </c>
    </row>
    <row r="94" spans="1:18" x14ac:dyDescent="0.25">
      <c r="A94">
        <v>93</v>
      </c>
      <c r="B94" t="s">
        <v>116</v>
      </c>
      <c r="C94">
        <v>-1</v>
      </c>
      <c r="D94">
        <v>-1</v>
      </c>
      <c r="E94">
        <v>1</v>
      </c>
      <c r="F94">
        <v>1</v>
      </c>
      <c r="G94">
        <v>1</v>
      </c>
      <c r="H94">
        <v>-1</v>
      </c>
      <c r="I94">
        <v>1</v>
      </c>
      <c r="J94">
        <v>659950.71052388824</v>
      </c>
      <c r="K94">
        <f t="shared" ref="K94:Q94" si="95">J59-J58</f>
        <v>19300984.347302012</v>
      </c>
      <c r="L94">
        <f t="shared" si="95"/>
        <v>96617209.992537171</v>
      </c>
      <c r="M94">
        <f t="shared" si="95"/>
        <v>-6747016.3118563145</v>
      </c>
      <c r="N94">
        <f t="shared" si="95"/>
        <v>-151313.63043637574</v>
      </c>
      <c r="O94">
        <f t="shared" si="95"/>
        <v>195093.92071726918</v>
      </c>
      <c r="P94">
        <f t="shared" si="95"/>
        <v>12160.615169554949</v>
      </c>
      <c r="Q94">
        <f t="shared" si="95"/>
        <v>124669.57582756877</v>
      </c>
      <c r="R94">
        <f t="shared" si="68"/>
        <v>1947.962122305762</v>
      </c>
    </row>
    <row r="95" spans="1:18" x14ac:dyDescent="0.25">
      <c r="A95">
        <v>94</v>
      </c>
      <c r="B95" t="s">
        <v>117</v>
      </c>
      <c r="C95">
        <v>1</v>
      </c>
      <c r="D95">
        <v>-1</v>
      </c>
      <c r="E95">
        <v>1</v>
      </c>
      <c r="F95">
        <v>1</v>
      </c>
      <c r="G95">
        <v>1</v>
      </c>
      <c r="H95">
        <v>-1</v>
      </c>
      <c r="I95">
        <v>1</v>
      </c>
      <c r="J95">
        <v>13383069.77801591</v>
      </c>
      <c r="K95">
        <f t="shared" ref="K95:Q95" si="96">J61-J60</f>
        <v>48077815.466546386</v>
      </c>
      <c r="L95">
        <f t="shared" si="96"/>
        <v>99181603.19322443</v>
      </c>
      <c r="M95">
        <f t="shared" si="96"/>
        <v>-6642966.2177553549</v>
      </c>
      <c r="N95">
        <f t="shared" si="96"/>
        <v>-183577.23707530648</v>
      </c>
      <c r="O95">
        <f t="shared" si="96"/>
        <v>288853.15037257224</v>
      </c>
      <c r="P95">
        <f t="shared" si="96"/>
        <v>15669.45763272047</v>
      </c>
      <c r="Q95">
        <f t="shared" si="96"/>
        <v>92702.254502683878</v>
      </c>
      <c r="R95">
        <f t="shared" si="68"/>
        <v>1448.4727266044356</v>
      </c>
    </row>
    <row r="96" spans="1:18" x14ac:dyDescent="0.25">
      <c r="A96">
        <v>95</v>
      </c>
      <c r="B96" t="s">
        <v>118</v>
      </c>
      <c r="C96">
        <v>-1</v>
      </c>
      <c r="D96">
        <v>1</v>
      </c>
      <c r="E96">
        <v>1</v>
      </c>
      <c r="F96">
        <v>1</v>
      </c>
      <c r="G96">
        <v>1</v>
      </c>
      <c r="H96">
        <v>-1</v>
      </c>
      <c r="I96">
        <v>1</v>
      </c>
      <c r="J96">
        <v>32371430.5590389</v>
      </c>
      <c r="K96">
        <f t="shared" ref="K96:Q96" si="97">J63-J62</f>
        <v>12684319.091387099</v>
      </c>
      <c r="L96">
        <f t="shared" si="97"/>
        <v>95621576.029595986</v>
      </c>
      <c r="M96">
        <f t="shared" si="97"/>
        <v>-6840594.5516985953</v>
      </c>
      <c r="N96">
        <f t="shared" si="97"/>
        <v>-178997.88879597187</v>
      </c>
      <c r="O96">
        <f t="shared" si="97"/>
        <v>139660.76342444867</v>
      </c>
      <c r="P96">
        <f t="shared" si="97"/>
        <v>6305.6081270202994</v>
      </c>
      <c r="Q96">
        <f t="shared" si="97"/>
        <v>-24741.919762521982</v>
      </c>
      <c r="R96">
        <f t="shared" si="68"/>
        <v>-386.59249628940597</v>
      </c>
    </row>
    <row r="97" spans="1:18" x14ac:dyDescent="0.25">
      <c r="A97">
        <v>96</v>
      </c>
      <c r="B97" t="s">
        <v>119</v>
      </c>
      <c r="C97">
        <v>1</v>
      </c>
      <c r="D97">
        <v>1</v>
      </c>
      <c r="E97">
        <v>1</v>
      </c>
      <c r="F97">
        <v>1</v>
      </c>
      <c r="G97">
        <v>1</v>
      </c>
      <c r="H97">
        <v>-1</v>
      </c>
      <c r="I97">
        <v>1</v>
      </c>
      <c r="J97">
        <v>80362226.657325119</v>
      </c>
      <c r="K97">
        <f t="shared" ref="K97:Q97" si="98">J65-J64</f>
        <v>47989685.409164831</v>
      </c>
      <c r="L97">
        <f t="shared" si="98"/>
        <v>98224085.253492892</v>
      </c>
      <c r="M97">
        <f t="shared" si="98"/>
        <v>-6810403.3497078121</v>
      </c>
      <c r="N97">
        <f t="shared" si="98"/>
        <v>-249434.11808304489</v>
      </c>
      <c r="O97">
        <f t="shared" si="98"/>
        <v>211786.95863493904</v>
      </c>
      <c r="P97">
        <f t="shared" si="98"/>
        <v>-31177.697965603322</v>
      </c>
      <c r="Q97">
        <f t="shared" si="98"/>
        <v>-31025.44583998248</v>
      </c>
      <c r="R97">
        <f t="shared" si="68"/>
        <v>-484.77259124972625</v>
      </c>
    </row>
    <row r="98" spans="1:18" x14ac:dyDescent="0.25">
      <c r="A98">
        <v>97</v>
      </c>
      <c r="B98" t="s">
        <v>120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1</v>
      </c>
      <c r="I98">
        <v>1</v>
      </c>
      <c r="J98">
        <v>1214366.1783409039</v>
      </c>
      <c r="K98">
        <f t="shared" ref="K98:Q98" si="99">J67-J66</f>
        <v>19379489.217089795</v>
      </c>
      <c r="L98">
        <f t="shared" si="99"/>
        <v>28931584.70817868</v>
      </c>
      <c r="M98">
        <f t="shared" si="99"/>
        <v>2564321.9997335076</v>
      </c>
      <c r="N98">
        <f t="shared" si="99"/>
        <v>364055.58886285126</v>
      </c>
      <c r="O98">
        <f t="shared" si="99"/>
        <v>456771.43986058235</v>
      </c>
      <c r="P98">
        <f t="shared" si="99"/>
        <v>653022.07069814205</v>
      </c>
      <c r="Q98">
        <f t="shared" si="99"/>
        <v>1297665.5581488609</v>
      </c>
      <c r="R98">
        <f t="shared" si="68"/>
        <v>20276.024346075952</v>
      </c>
    </row>
    <row r="99" spans="1:18" x14ac:dyDescent="0.25">
      <c r="A99">
        <v>98</v>
      </c>
      <c r="B99" t="s">
        <v>121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I99">
        <v>1</v>
      </c>
      <c r="J99">
        <v>20537949.867657792</v>
      </c>
      <c r="K99">
        <f t="shared" ref="K99:Q99" si="100">J69-J68</f>
        <v>48273285.143602714</v>
      </c>
      <c r="L99">
        <f t="shared" si="100"/>
        <v>35417548.008626036</v>
      </c>
      <c r="M99">
        <f t="shared" si="100"/>
        <v>2602925.4221502393</v>
      </c>
      <c r="N99">
        <f t="shared" si="100"/>
        <v>226092.59920494258</v>
      </c>
      <c r="O99">
        <f t="shared" si="100"/>
        <v>652870.68068087101</v>
      </c>
      <c r="P99">
        <f t="shared" si="100"/>
        <v>537778.60446125269</v>
      </c>
      <c r="Q99">
        <f t="shared" si="100"/>
        <v>-82298.230756342411</v>
      </c>
      <c r="R99">
        <f t="shared" ref="R99:R130" si="101">Q99/64</f>
        <v>-1285.9098555678502</v>
      </c>
    </row>
    <row r="100" spans="1:18" x14ac:dyDescent="0.25">
      <c r="A100">
        <v>99</v>
      </c>
      <c r="B100" t="s">
        <v>122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1</v>
      </c>
      <c r="I100">
        <v>1</v>
      </c>
      <c r="J100">
        <v>35045014.670255817</v>
      </c>
      <c r="K100">
        <f t="shared" ref="K100:Q100" si="102">J71-J70</f>
        <v>12748361.127862625</v>
      </c>
      <c r="L100">
        <f t="shared" si="102"/>
        <v>28929610.281190772</v>
      </c>
      <c r="M100">
        <f t="shared" si="102"/>
        <v>2597737.8320830017</v>
      </c>
      <c r="N100">
        <f t="shared" si="102"/>
        <v>490805.43747122586</v>
      </c>
      <c r="O100">
        <f t="shared" si="102"/>
        <v>331919.74108910561</v>
      </c>
      <c r="P100">
        <f t="shared" si="102"/>
        <v>330025.49631938338</v>
      </c>
      <c r="Q100">
        <f t="shared" si="102"/>
        <v>251301.51879942417</v>
      </c>
      <c r="R100">
        <f t="shared" si="101"/>
        <v>3926.5862312410027</v>
      </c>
    </row>
    <row r="101" spans="1:18" x14ac:dyDescent="0.25">
      <c r="A101">
        <v>100</v>
      </c>
      <c r="B101" t="s">
        <v>123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1</v>
      </c>
      <c r="I101">
        <v>1</v>
      </c>
      <c r="J101">
        <v>83258563.083960429</v>
      </c>
      <c r="K101">
        <f t="shared" ref="K101:Q101" si="103">J73-J72</f>
        <v>48130542.583386421</v>
      </c>
      <c r="L101">
        <f t="shared" si="103"/>
        <v>35321565.283326514</v>
      </c>
      <c r="M101">
        <f t="shared" si="103"/>
        <v>2665870.0511254817</v>
      </c>
      <c r="N101">
        <f t="shared" si="103"/>
        <v>284810.8819514066</v>
      </c>
      <c r="O101">
        <f t="shared" si="103"/>
        <v>494176.12917122245</v>
      </c>
      <c r="P101">
        <f t="shared" si="103"/>
        <v>294870.71569088101</v>
      </c>
      <c r="Q101">
        <f t="shared" si="103"/>
        <v>-585449.33312264085</v>
      </c>
      <c r="R101">
        <f t="shared" si="101"/>
        <v>-9147.6458300412633</v>
      </c>
    </row>
    <row r="102" spans="1:18" x14ac:dyDescent="0.25">
      <c r="A102">
        <v>101</v>
      </c>
      <c r="B102" t="s">
        <v>124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667925.61516336259</v>
      </c>
      <c r="K102">
        <f t="shared" ref="K102:Q102" si="104">J75-J74</f>
        <v>19207360.069567394</v>
      </c>
      <c r="L102">
        <f t="shared" si="104"/>
        <v>28854832.133911956</v>
      </c>
      <c r="M102">
        <f t="shared" si="104"/>
        <v>2567277.5288641155</v>
      </c>
      <c r="N102">
        <f t="shared" si="104"/>
        <v>247498.82807333767</v>
      </c>
      <c r="O102">
        <f t="shared" si="104"/>
        <v>227452.25557211041</v>
      </c>
      <c r="P102">
        <f t="shared" si="104"/>
        <v>-8660.5754281878471</v>
      </c>
      <c r="Q102">
        <f t="shared" si="104"/>
        <v>-272809.96567812562</v>
      </c>
      <c r="R102">
        <f t="shared" si="101"/>
        <v>-4262.6557137207128</v>
      </c>
    </row>
    <row r="103" spans="1:18" x14ac:dyDescent="0.25">
      <c r="A103">
        <v>102</v>
      </c>
      <c r="B103" t="s">
        <v>125</v>
      </c>
      <c r="C103">
        <v>1</v>
      </c>
      <c r="D103">
        <v>-1</v>
      </c>
      <c r="E103">
        <v>1</v>
      </c>
      <c r="F103">
        <v>-1</v>
      </c>
      <c r="G103">
        <v>-1</v>
      </c>
      <c r="H103">
        <v>1</v>
      </c>
      <c r="I103">
        <v>1</v>
      </c>
      <c r="J103">
        <v>13389726.436165961</v>
      </c>
      <c r="K103">
        <f t="shared" ref="K103:Q103" si="105">J77-J76</f>
        <v>48073333.287230194</v>
      </c>
      <c r="L103">
        <f t="shared" si="105"/>
        <v>35409586.44775255</v>
      </c>
      <c r="M103">
        <f t="shared" si="105"/>
        <v>2601667.8829881549</v>
      </c>
      <c r="N103">
        <f t="shared" si="105"/>
        <v>152565.53737257421</v>
      </c>
      <c r="O103">
        <f t="shared" si="105"/>
        <v>325106.96001118422</v>
      </c>
      <c r="P103">
        <f t="shared" si="105"/>
        <v>89732.355617821217</v>
      </c>
      <c r="Q103">
        <f t="shared" si="105"/>
        <v>-158252.04789477587</v>
      </c>
      <c r="R103">
        <f t="shared" si="101"/>
        <v>-2472.6882483558729</v>
      </c>
    </row>
    <row r="104" spans="1:18" x14ac:dyDescent="0.25">
      <c r="A104">
        <v>103</v>
      </c>
      <c r="B104" t="s">
        <v>126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1</v>
      </c>
      <c r="J104">
        <v>32534971.78835145</v>
      </c>
      <c r="K104">
        <f t="shared" ref="K104:Q104" si="106">J79-J78</f>
        <v>12664335.039982513</v>
      </c>
      <c r="L104">
        <f t="shared" si="106"/>
        <v>28778534.744266402</v>
      </c>
      <c r="M104">
        <f t="shared" si="106"/>
        <v>2625475.1746000051</v>
      </c>
      <c r="N104">
        <f t="shared" si="106"/>
        <v>319256.37209069729</v>
      </c>
      <c r="O104">
        <f t="shared" si="106"/>
        <v>171831.93056678772</v>
      </c>
      <c r="P104">
        <f t="shared" si="106"/>
        <v>-262939.77217200398</v>
      </c>
      <c r="Q104">
        <f t="shared" si="106"/>
        <v>-59158.762909591198</v>
      </c>
      <c r="R104">
        <f t="shared" si="101"/>
        <v>-924.35567046236247</v>
      </c>
    </row>
    <row r="105" spans="1:18" x14ac:dyDescent="0.25">
      <c r="A105">
        <v>104</v>
      </c>
      <c r="B105" t="s">
        <v>127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1</v>
      </c>
      <c r="J105">
        <v>80603286.758514032</v>
      </c>
      <c r="K105">
        <f t="shared" ref="K105:Q105" si="107">J81-J80</f>
        <v>47923025.573920049</v>
      </c>
      <c r="L105">
        <f t="shared" si="107"/>
        <v>35296792.653726175</v>
      </c>
      <c r="M105">
        <f t="shared" si="107"/>
        <v>2709981.0771047324</v>
      </c>
      <c r="N105">
        <f t="shared" si="107"/>
        <v>194901.69344130158</v>
      </c>
      <c r="O105">
        <f t="shared" si="107"/>
        <v>259065.02988724411</v>
      </c>
      <c r="P105">
        <f t="shared" si="107"/>
        <v>-99596.234444320202</v>
      </c>
      <c r="Q105">
        <f t="shared" si="107"/>
        <v>-37223.488741528243</v>
      </c>
      <c r="R105">
        <f t="shared" si="101"/>
        <v>-581.61701158637879</v>
      </c>
    </row>
    <row r="106" spans="1:18" x14ac:dyDescent="0.25">
      <c r="A106">
        <v>105</v>
      </c>
      <c r="B106" t="s">
        <v>128</v>
      </c>
      <c r="C106">
        <v>-1</v>
      </c>
      <c r="D106">
        <v>-1</v>
      </c>
      <c r="E106">
        <v>-1</v>
      </c>
      <c r="F106">
        <v>1</v>
      </c>
      <c r="G106">
        <v>-1</v>
      </c>
      <c r="H106">
        <v>1</v>
      </c>
      <c r="I106">
        <v>1</v>
      </c>
      <c r="J106">
        <v>1176121.2339595209</v>
      </c>
      <c r="K106">
        <f t="shared" ref="K106:Q106" si="108">J83-J82</f>
        <v>19467761.306268454</v>
      </c>
      <c r="L106">
        <f t="shared" si="108"/>
        <v>28990371.713814944</v>
      </c>
      <c r="M106">
        <f t="shared" si="108"/>
        <v>2536281.0706371367</v>
      </c>
      <c r="N106">
        <f t="shared" si="108"/>
        <v>138604.68341091275</v>
      </c>
      <c r="O106">
        <f t="shared" si="108"/>
        <v>99626.311968028545</v>
      </c>
      <c r="P106">
        <f t="shared" si="108"/>
        <v>-184164.75175386667</v>
      </c>
      <c r="Q106">
        <f t="shared" si="108"/>
        <v>170912.15255507827</v>
      </c>
      <c r="R106">
        <f t="shared" si="101"/>
        <v>2670.5023836730979</v>
      </c>
    </row>
    <row r="107" spans="1:18" x14ac:dyDescent="0.25">
      <c r="A107">
        <v>106</v>
      </c>
      <c r="B107" t="s">
        <v>129</v>
      </c>
      <c r="C107">
        <v>1</v>
      </c>
      <c r="D107">
        <v>-1</v>
      </c>
      <c r="E107">
        <v>-1</v>
      </c>
      <c r="F107">
        <v>1</v>
      </c>
      <c r="G107">
        <v>-1</v>
      </c>
      <c r="H107">
        <v>1</v>
      </c>
      <c r="I107">
        <v>1</v>
      </c>
      <c r="J107">
        <v>20274430.74957265</v>
      </c>
      <c r="K107">
        <f t="shared" ref="K107:Q107" si="109">J85-J84</f>
        <v>48316845.151245274</v>
      </c>
      <c r="L107">
        <f t="shared" si="109"/>
        <v>35436579.884444721</v>
      </c>
      <c r="M107">
        <f t="shared" si="109"/>
        <v>2539111.1524084657</v>
      </c>
      <c r="N107">
        <f t="shared" si="109"/>
        <v>50834.031799197197</v>
      </c>
      <c r="O107">
        <f t="shared" si="109"/>
        <v>73130.078699111938</v>
      </c>
      <c r="P107">
        <f t="shared" si="109"/>
        <v>-127701.50703859329</v>
      </c>
      <c r="Q107">
        <f t="shared" si="109"/>
        <v>-53083.620288923383</v>
      </c>
      <c r="R107">
        <f t="shared" si="101"/>
        <v>-829.43156701442786</v>
      </c>
    </row>
    <row r="108" spans="1:18" x14ac:dyDescent="0.25">
      <c r="A108">
        <v>107</v>
      </c>
      <c r="B108" t="s">
        <v>130</v>
      </c>
      <c r="C108">
        <v>-1</v>
      </c>
      <c r="D108">
        <v>1</v>
      </c>
      <c r="E108">
        <v>-1</v>
      </c>
      <c r="F108">
        <v>1</v>
      </c>
      <c r="G108">
        <v>-1</v>
      </c>
      <c r="H108">
        <v>1</v>
      </c>
      <c r="I108">
        <v>1</v>
      </c>
      <c r="J108">
        <v>34501097.327303924</v>
      </c>
      <c r="K108">
        <f t="shared" ref="K108:Q108" si="110">J87-J86</f>
        <v>12780063.596436486</v>
      </c>
      <c r="L108">
        <f t="shared" si="110"/>
        <v>29048814.58681415</v>
      </c>
      <c r="M108">
        <f t="shared" si="110"/>
        <v>2558097.8484074771</v>
      </c>
      <c r="N108">
        <f t="shared" si="110"/>
        <v>221554.29793286324</v>
      </c>
      <c r="O108">
        <f t="shared" si="110"/>
        <v>107984.37343347073</v>
      </c>
      <c r="P108">
        <f t="shared" si="110"/>
        <v>-112336.96041826904</v>
      </c>
      <c r="Q108">
        <f t="shared" si="110"/>
        <v>-135801.27178838849</v>
      </c>
      <c r="R108">
        <f t="shared" si="101"/>
        <v>-2121.8948716935702</v>
      </c>
    </row>
    <row r="109" spans="1:18" x14ac:dyDescent="0.25">
      <c r="A109">
        <v>108</v>
      </c>
      <c r="B109" t="s">
        <v>131</v>
      </c>
      <c r="C109">
        <v>1</v>
      </c>
      <c r="D109">
        <v>1</v>
      </c>
      <c r="E109">
        <v>-1</v>
      </c>
      <c r="F109">
        <v>1</v>
      </c>
      <c r="G109">
        <v>-1</v>
      </c>
      <c r="H109">
        <v>1</v>
      </c>
      <c r="I109">
        <v>1</v>
      </c>
      <c r="J109">
        <v>82463901.969826281</v>
      </c>
      <c r="K109">
        <f t="shared" ref="K109:Q109" si="111">J89-J88</f>
        <v>48168809.57926099</v>
      </c>
      <c r="L109">
        <f t="shared" si="111"/>
        <v>35392257.256335743</v>
      </c>
      <c r="M109">
        <f t="shared" si="111"/>
        <v>2572817.0904331058</v>
      </c>
      <c r="N109">
        <f t="shared" si="111"/>
        <v>84102.047219455242</v>
      </c>
      <c r="O109">
        <f t="shared" si="111"/>
        <v>125374.12834629416</v>
      </c>
      <c r="P109">
        <f t="shared" si="111"/>
        <v>-78628.35133689642</v>
      </c>
      <c r="Q109">
        <f t="shared" si="111"/>
        <v>-214583.22668848932</v>
      </c>
      <c r="R109">
        <f t="shared" si="101"/>
        <v>-3352.8629170076456</v>
      </c>
    </row>
    <row r="110" spans="1:18" x14ac:dyDescent="0.25">
      <c r="A110">
        <v>109</v>
      </c>
      <c r="B110" t="s">
        <v>132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1</v>
      </c>
      <c r="I110">
        <v>1</v>
      </c>
      <c r="J110">
        <v>652691.87726466241</v>
      </c>
      <c r="K110">
        <f t="shared" ref="K110:Q110" si="112">J91-J90</f>
        <v>19370598.368413251</v>
      </c>
      <c r="L110">
        <f t="shared" si="112"/>
        <v>28856177.569279969</v>
      </c>
      <c r="M110">
        <f t="shared" si="112"/>
        <v>2529344.7873185873</v>
      </c>
      <c r="N110">
        <f t="shared" si="112"/>
        <v>80537.906548425555</v>
      </c>
      <c r="O110">
        <f t="shared" si="112"/>
        <v>-91134.031384497881</v>
      </c>
      <c r="P110">
        <f t="shared" si="112"/>
        <v>70150.378527730703</v>
      </c>
      <c r="Q110">
        <f t="shared" si="112"/>
        <v>-71374.431268751621</v>
      </c>
      <c r="R110">
        <f t="shared" si="101"/>
        <v>-1115.2254885742441</v>
      </c>
    </row>
    <row r="111" spans="1:18" x14ac:dyDescent="0.25">
      <c r="A111">
        <v>110</v>
      </c>
      <c r="B111" t="s">
        <v>133</v>
      </c>
      <c r="C111">
        <v>1</v>
      </c>
      <c r="D111">
        <v>-1</v>
      </c>
      <c r="E111">
        <v>1</v>
      </c>
      <c r="F111">
        <v>1</v>
      </c>
      <c r="G111">
        <v>-1</v>
      </c>
      <c r="H111">
        <v>1</v>
      </c>
      <c r="I111">
        <v>1</v>
      </c>
      <c r="J111">
        <v>13265272.91853348</v>
      </c>
      <c r="K111">
        <f t="shared" ref="K111:Q111" si="113">J93-J92</f>
        <v>48157173.928345069</v>
      </c>
      <c r="L111">
        <f t="shared" si="113"/>
        <v>35406146.361270554</v>
      </c>
      <c r="M111">
        <f t="shared" si="113"/>
        <v>2524447.5455386192</v>
      </c>
      <c r="N111">
        <f t="shared" si="113"/>
        <v>21876.150836162269</v>
      </c>
      <c r="O111">
        <f t="shared" si="113"/>
        <v>-194246.73841864616</v>
      </c>
      <c r="P111">
        <f t="shared" si="113"/>
        <v>57587.375931978226</v>
      </c>
      <c r="Q111">
        <f t="shared" si="113"/>
        <v>-84390.391235053539</v>
      </c>
      <c r="R111">
        <f t="shared" si="101"/>
        <v>-1318.5998630477116</v>
      </c>
    </row>
    <row r="112" spans="1:18" x14ac:dyDescent="0.25">
      <c r="A112">
        <v>111</v>
      </c>
      <c r="B112" t="s">
        <v>134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32075646.377911732</v>
      </c>
      <c r="K112">
        <f t="shared" ref="K112:Q112" si="114">J95-J94</f>
        <v>12723119.067492021</v>
      </c>
      <c r="L112">
        <f t="shared" si="114"/>
        <v>28776831.119244374</v>
      </c>
      <c r="M112">
        <f t="shared" si="114"/>
        <v>2564393.2006872594</v>
      </c>
      <c r="N112">
        <f t="shared" si="114"/>
        <v>104050.0941009596</v>
      </c>
      <c r="O112">
        <f t="shared" si="114"/>
        <v>-32263.606638930738</v>
      </c>
      <c r="P112">
        <f t="shared" si="114"/>
        <v>93759.229655303061</v>
      </c>
      <c r="Q112">
        <f t="shared" si="114"/>
        <v>3508.8424631655216</v>
      </c>
      <c r="R112">
        <f t="shared" si="101"/>
        <v>54.825663486961275</v>
      </c>
    </row>
    <row r="113" spans="1:18" x14ac:dyDescent="0.25">
      <c r="A113">
        <v>112</v>
      </c>
      <c r="B113" t="s">
        <v>135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1</v>
      </c>
      <c r="J113">
        <v>79881213.277023047</v>
      </c>
      <c r="K113">
        <f t="shared" ref="K113:Q113" si="115">J97-J96</f>
        <v>47990796.098286219</v>
      </c>
      <c r="L113">
        <f t="shared" si="115"/>
        <v>35305366.317777731</v>
      </c>
      <c r="M113">
        <f t="shared" si="115"/>
        <v>2602509.2238969058</v>
      </c>
      <c r="N113">
        <f t="shared" si="115"/>
        <v>30191.201990783215</v>
      </c>
      <c r="O113">
        <f t="shared" si="115"/>
        <v>-70436.229287073016</v>
      </c>
      <c r="P113">
        <f t="shared" si="115"/>
        <v>72126.195210490376</v>
      </c>
      <c r="Q113">
        <f t="shared" si="115"/>
        <v>-37483.306092623621</v>
      </c>
      <c r="R113">
        <f t="shared" si="101"/>
        <v>-585.67665769724408</v>
      </c>
    </row>
    <row r="114" spans="1:18" x14ac:dyDescent="0.25">
      <c r="A114">
        <v>113</v>
      </c>
      <c r="B114" t="s">
        <v>136</v>
      </c>
      <c r="C114">
        <v>-1</v>
      </c>
      <c r="D114">
        <v>-1</v>
      </c>
      <c r="E114">
        <v>-1</v>
      </c>
      <c r="F114">
        <v>-1</v>
      </c>
      <c r="G114">
        <v>1</v>
      </c>
      <c r="H114">
        <v>1</v>
      </c>
      <c r="I114">
        <v>1</v>
      </c>
      <c r="J114">
        <v>1223578.858555167</v>
      </c>
      <c r="K114">
        <f t="shared" ref="K114:Q114" si="116">J99-J98</f>
        <v>19323583.689316887</v>
      </c>
      <c r="L114">
        <f t="shared" si="116"/>
        <v>28893795.926512919</v>
      </c>
      <c r="M114">
        <f t="shared" si="116"/>
        <v>6485963.300447356</v>
      </c>
      <c r="N114">
        <f t="shared" si="116"/>
        <v>38603.422416731715</v>
      </c>
      <c r="O114">
        <f t="shared" si="116"/>
        <v>-137962.98965790868</v>
      </c>
      <c r="P114">
        <f t="shared" si="116"/>
        <v>196099.24082028866</v>
      </c>
      <c r="Q114">
        <f t="shared" si="116"/>
        <v>-115243.46623688936</v>
      </c>
      <c r="R114">
        <f t="shared" si="101"/>
        <v>-1800.6791599513963</v>
      </c>
    </row>
    <row r="115" spans="1:18" x14ac:dyDescent="0.25">
      <c r="A115">
        <v>114</v>
      </c>
      <c r="B115" t="s">
        <v>137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1</v>
      </c>
      <c r="I115">
        <v>1</v>
      </c>
      <c r="J115">
        <v>20681811.558810212</v>
      </c>
      <c r="K115">
        <f t="shared" ref="K115:Q115" si="117">J101-J100</f>
        <v>48213548.413704611</v>
      </c>
      <c r="L115">
        <f t="shared" si="117"/>
        <v>35382181.455523796</v>
      </c>
      <c r="M115">
        <f t="shared" si="117"/>
        <v>6391955.0021357425</v>
      </c>
      <c r="N115">
        <f t="shared" si="117"/>
        <v>68132.219042479992</v>
      </c>
      <c r="O115">
        <f t="shared" si="117"/>
        <v>-205994.55551981926</v>
      </c>
      <c r="P115">
        <f t="shared" si="117"/>
        <v>162256.38808211684</v>
      </c>
      <c r="Q115">
        <f t="shared" si="117"/>
        <v>-35154.780628502369</v>
      </c>
      <c r="R115">
        <f t="shared" si="101"/>
        <v>-549.29344732034951</v>
      </c>
    </row>
    <row r="116" spans="1:18" x14ac:dyDescent="0.25">
      <c r="A116">
        <v>115</v>
      </c>
      <c r="B116" t="s">
        <v>138</v>
      </c>
      <c r="C116">
        <v>-1</v>
      </c>
      <c r="D116">
        <v>1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35122050.851243757</v>
      </c>
      <c r="K116">
        <f t="shared" ref="K116:Q116" si="118">J103-J102</f>
        <v>12721800.821002599</v>
      </c>
      <c r="L116">
        <f t="shared" si="118"/>
        <v>28865973.2176628</v>
      </c>
      <c r="M116">
        <f t="shared" si="118"/>
        <v>6554754.3138405941</v>
      </c>
      <c r="N116">
        <f t="shared" si="118"/>
        <v>34390.354124039412</v>
      </c>
      <c r="O116">
        <f t="shared" si="118"/>
        <v>-94933.290700763464</v>
      </c>
      <c r="P116">
        <f t="shared" si="118"/>
        <v>97654.704439073801</v>
      </c>
      <c r="Q116">
        <f t="shared" si="118"/>
        <v>98392.931046009064</v>
      </c>
      <c r="R116">
        <f t="shared" si="101"/>
        <v>1537.3895475938916</v>
      </c>
    </row>
    <row r="117" spans="1:18" x14ac:dyDescent="0.25">
      <c r="A117">
        <v>116</v>
      </c>
      <c r="B117" t="s">
        <v>139</v>
      </c>
      <c r="C117">
        <v>1</v>
      </c>
      <c r="D117">
        <v>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83400549.558658779</v>
      </c>
      <c r="K117">
        <f t="shared" ref="K117:Q117" si="119">J105-J104</f>
        <v>48068314.970162585</v>
      </c>
      <c r="L117">
        <f t="shared" si="119"/>
        <v>35258690.533937536</v>
      </c>
      <c r="M117">
        <f t="shared" si="119"/>
        <v>6518257.9094597735</v>
      </c>
      <c r="N117">
        <f t="shared" si="119"/>
        <v>84505.902504727244</v>
      </c>
      <c r="O117">
        <f t="shared" si="119"/>
        <v>-124354.6786493957</v>
      </c>
      <c r="P117">
        <f t="shared" si="119"/>
        <v>87233.099320456386</v>
      </c>
      <c r="Q117">
        <f t="shared" si="119"/>
        <v>163343.53772768378</v>
      </c>
      <c r="R117">
        <f t="shared" si="101"/>
        <v>2552.2427769950591</v>
      </c>
    </row>
    <row r="118" spans="1:18" x14ac:dyDescent="0.25">
      <c r="A118">
        <v>117</v>
      </c>
      <c r="B118" t="s">
        <v>140</v>
      </c>
      <c r="C118">
        <v>-1</v>
      </c>
      <c r="D118">
        <v>-1</v>
      </c>
      <c r="E118">
        <v>1</v>
      </c>
      <c r="F118">
        <v>-1</v>
      </c>
      <c r="G118">
        <v>1</v>
      </c>
      <c r="H118">
        <v>1</v>
      </c>
      <c r="I118">
        <v>1</v>
      </c>
      <c r="J118">
        <v>670190.98713757517</v>
      </c>
      <c r="K118">
        <f t="shared" ref="K118:Q118" si="120">J107-J106</f>
        <v>19098309.515613127</v>
      </c>
      <c r="L118">
        <f t="shared" si="120"/>
        <v>28849083.84497682</v>
      </c>
      <c r="M118">
        <f t="shared" si="120"/>
        <v>6446208.170629777</v>
      </c>
      <c r="N118">
        <f t="shared" si="120"/>
        <v>2830.0817713290453</v>
      </c>
      <c r="O118">
        <f t="shared" si="120"/>
        <v>-87770.651611715555</v>
      </c>
      <c r="P118">
        <f t="shared" si="120"/>
        <v>-26496.233268916607</v>
      </c>
      <c r="Q118">
        <f t="shared" si="120"/>
        <v>56463.24471527338</v>
      </c>
      <c r="R118">
        <f t="shared" si="101"/>
        <v>882.23819867614657</v>
      </c>
    </row>
    <row r="119" spans="1:18" x14ac:dyDescent="0.25">
      <c r="A119">
        <v>118</v>
      </c>
      <c r="B119" t="s">
        <v>141</v>
      </c>
      <c r="C119">
        <v>1</v>
      </c>
      <c r="D119">
        <v>-1</v>
      </c>
      <c r="E119">
        <v>1</v>
      </c>
      <c r="F119">
        <v>-1</v>
      </c>
      <c r="G119">
        <v>1</v>
      </c>
      <c r="H119">
        <v>1</v>
      </c>
      <c r="I119">
        <v>1</v>
      </c>
      <c r="J119">
        <v>13444582.66199619</v>
      </c>
      <c r="K119">
        <f t="shared" ref="K119:Q119" si="121">J109-J108</f>
        <v>47962804.642522357</v>
      </c>
      <c r="L119">
        <f t="shared" si="121"/>
        <v>35388745.982824504</v>
      </c>
      <c r="M119">
        <f t="shared" si="121"/>
        <v>6343442.6695215926</v>
      </c>
      <c r="N119">
        <f t="shared" si="121"/>
        <v>14719.242025628686</v>
      </c>
      <c r="O119">
        <f t="shared" si="121"/>
        <v>-137452.25071340799</v>
      </c>
      <c r="P119">
        <f t="shared" si="121"/>
        <v>17389.754912823439</v>
      </c>
      <c r="Q119">
        <f t="shared" si="121"/>
        <v>33708.609081372619</v>
      </c>
      <c r="R119">
        <f t="shared" si="101"/>
        <v>526.69701689644717</v>
      </c>
    </row>
    <row r="120" spans="1:18" x14ac:dyDescent="0.25">
      <c r="A120">
        <v>119</v>
      </c>
      <c r="B120" t="s">
        <v>142</v>
      </c>
      <c r="C120">
        <v>-1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32587315.830622669</v>
      </c>
      <c r="K120">
        <f t="shared" ref="K120:Q120" si="122">J111-J110</f>
        <v>12612581.041268818</v>
      </c>
      <c r="L120">
        <f t="shared" si="122"/>
        <v>28786575.559931818</v>
      </c>
      <c r="M120">
        <f t="shared" si="122"/>
        <v>6549968.7919905856</v>
      </c>
      <c r="N120">
        <f t="shared" si="122"/>
        <v>-4897.2417799681425</v>
      </c>
      <c r="O120">
        <f t="shared" si="122"/>
        <v>-58661.755712263286</v>
      </c>
      <c r="P120">
        <f t="shared" si="122"/>
        <v>-103112.70703414828</v>
      </c>
      <c r="Q120">
        <f t="shared" si="122"/>
        <v>-12563.002595752478</v>
      </c>
      <c r="R120">
        <f t="shared" si="101"/>
        <v>-196.29691555863246</v>
      </c>
    </row>
    <row r="121" spans="1:18" x14ac:dyDescent="0.25">
      <c r="A121">
        <v>120</v>
      </c>
      <c r="B121" t="s">
        <v>143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1</v>
      </c>
      <c r="J121">
        <v>80709061.011735529</v>
      </c>
      <c r="K121">
        <f t="shared" ref="K121:Q121" si="123">J113-J112</f>
        <v>47805566.899111316</v>
      </c>
      <c r="L121">
        <f t="shared" si="123"/>
        <v>35267677.030794196</v>
      </c>
      <c r="M121">
        <f t="shared" si="123"/>
        <v>6528535.1985333562</v>
      </c>
      <c r="N121">
        <f t="shared" si="123"/>
        <v>38116.023209646344</v>
      </c>
      <c r="O121">
        <f t="shared" si="123"/>
        <v>-73858.892110176384</v>
      </c>
      <c r="P121">
        <f t="shared" si="123"/>
        <v>-38172.622648142278</v>
      </c>
      <c r="Q121">
        <f t="shared" si="123"/>
        <v>-21633.034444812685</v>
      </c>
      <c r="R121">
        <f t="shared" si="101"/>
        <v>-338.01616320019821</v>
      </c>
    </row>
    <row r="122" spans="1:18" x14ac:dyDescent="0.25">
      <c r="A122">
        <v>121</v>
      </c>
      <c r="B122" t="s">
        <v>144</v>
      </c>
      <c r="C122">
        <v>-1</v>
      </c>
      <c r="D122">
        <v>-1</v>
      </c>
      <c r="E122">
        <v>-1</v>
      </c>
      <c r="F122">
        <v>1</v>
      </c>
      <c r="G122">
        <v>1</v>
      </c>
      <c r="H122">
        <v>1</v>
      </c>
      <c r="I122">
        <v>1</v>
      </c>
      <c r="J122">
        <v>1193096.287072341</v>
      </c>
      <c r="K122">
        <f t="shared" ref="K122:Q122" si="124">J115-J114</f>
        <v>19458232.700255044</v>
      </c>
      <c r="L122">
        <f t="shared" si="124"/>
        <v>28889964.724387724</v>
      </c>
      <c r="M122">
        <f t="shared" si="124"/>
        <v>6488385.529010877</v>
      </c>
      <c r="N122">
        <f t="shared" si="124"/>
        <v>-94008.2983116135</v>
      </c>
      <c r="O122">
        <f t="shared" si="124"/>
        <v>29528.796625748277</v>
      </c>
      <c r="P122">
        <f t="shared" si="124"/>
        <v>-68031.565861910582</v>
      </c>
      <c r="Q122">
        <f t="shared" si="124"/>
        <v>-33842.852738171816</v>
      </c>
      <c r="R122">
        <f t="shared" si="101"/>
        <v>-528.79457403393462</v>
      </c>
    </row>
    <row r="123" spans="1:18" x14ac:dyDescent="0.25">
      <c r="A123">
        <v>122</v>
      </c>
      <c r="B123" t="s">
        <v>145</v>
      </c>
      <c r="C123">
        <v>1</v>
      </c>
      <c r="D123">
        <v>-1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20544572.553942479</v>
      </c>
      <c r="K123">
        <f t="shared" ref="K123:Q123" si="125">J117-J116</f>
        <v>48278498.707415022</v>
      </c>
      <c r="L123">
        <f t="shared" si="125"/>
        <v>35346514.149159983</v>
      </c>
      <c r="M123">
        <f t="shared" si="125"/>
        <v>6392717.3162747361</v>
      </c>
      <c r="N123">
        <f t="shared" si="125"/>
        <v>-36496.404380820692</v>
      </c>
      <c r="O123">
        <f t="shared" si="125"/>
        <v>50115.548380687833</v>
      </c>
      <c r="P123">
        <f t="shared" si="125"/>
        <v>-29421.38794863224</v>
      </c>
      <c r="Q123">
        <f t="shared" si="125"/>
        <v>-10421.605118617415</v>
      </c>
      <c r="R123">
        <f t="shared" si="101"/>
        <v>-162.83757997839712</v>
      </c>
    </row>
    <row r="124" spans="1:18" x14ac:dyDescent="0.25">
      <c r="A124">
        <v>123</v>
      </c>
      <c r="B124" t="s">
        <v>146</v>
      </c>
      <c r="C124">
        <v>-1</v>
      </c>
      <c r="D124">
        <v>1</v>
      </c>
      <c r="E124">
        <v>-1</v>
      </c>
      <c r="F124">
        <v>1</v>
      </c>
      <c r="G124">
        <v>1</v>
      </c>
      <c r="H124">
        <v>1</v>
      </c>
      <c r="I124">
        <v>1</v>
      </c>
      <c r="J124">
        <v>34641772.856849089</v>
      </c>
      <c r="K124">
        <f t="shared" ref="K124:Q124" si="126">J119-J118</f>
        <v>12774391.674858615</v>
      </c>
      <c r="L124">
        <f t="shared" si="126"/>
        <v>28864495.12690923</v>
      </c>
      <c r="M124">
        <f t="shared" si="126"/>
        <v>6539662.1378476843</v>
      </c>
      <c r="N124">
        <f t="shared" si="126"/>
        <v>-102765.50110818446</v>
      </c>
      <c r="O124">
        <f t="shared" si="126"/>
        <v>11889.160254299641</v>
      </c>
      <c r="P124">
        <f t="shared" si="126"/>
        <v>-49681.599101692438</v>
      </c>
      <c r="Q124">
        <f t="shared" si="126"/>
        <v>43885.988181740046</v>
      </c>
      <c r="R124">
        <f t="shared" si="101"/>
        <v>685.71856533968821</v>
      </c>
    </row>
    <row r="125" spans="1:18" x14ac:dyDescent="0.25">
      <c r="A125">
        <v>124</v>
      </c>
      <c r="B125" t="s">
        <v>147</v>
      </c>
      <c r="C125">
        <v>1</v>
      </c>
      <c r="D125">
        <v>1</v>
      </c>
      <c r="E125">
        <v>-1</v>
      </c>
      <c r="F125">
        <v>1</v>
      </c>
      <c r="G125">
        <v>1</v>
      </c>
      <c r="H125">
        <v>1</v>
      </c>
      <c r="I125">
        <v>1</v>
      </c>
      <c r="J125">
        <v>82717472.013761714</v>
      </c>
      <c r="K125">
        <f t="shared" ref="K125:Q125" si="127">J121-J120</f>
        <v>48121745.181112856</v>
      </c>
      <c r="L125">
        <f t="shared" si="127"/>
        <v>35192985.857842498</v>
      </c>
      <c r="M125">
        <f t="shared" si="127"/>
        <v>6481101.4708623774</v>
      </c>
      <c r="N125">
        <f t="shared" si="127"/>
        <v>-21433.593457229435</v>
      </c>
      <c r="O125">
        <f t="shared" si="127"/>
        <v>43013.264989614487</v>
      </c>
      <c r="P125">
        <f t="shared" si="127"/>
        <v>-15197.136397913098</v>
      </c>
      <c r="Q125">
        <f t="shared" si="127"/>
        <v>64940.084386005998</v>
      </c>
      <c r="R125">
        <f t="shared" si="101"/>
        <v>1014.6888185313437</v>
      </c>
    </row>
    <row r="126" spans="1:18" x14ac:dyDescent="0.25">
      <c r="A126">
        <v>125</v>
      </c>
      <c r="B126" t="s">
        <v>148</v>
      </c>
      <c r="C126">
        <v>-1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657020.06175295822</v>
      </c>
      <c r="K126">
        <f t="shared" ref="K126:Q126" si="128">J123-J122</f>
        <v>19351476.266870137</v>
      </c>
      <c r="L126">
        <f t="shared" si="128"/>
        <v>28820266.007159978</v>
      </c>
      <c r="M126">
        <f t="shared" si="128"/>
        <v>6456549.4247722588</v>
      </c>
      <c r="N126">
        <f t="shared" si="128"/>
        <v>-95668.212736140937</v>
      </c>
      <c r="O126">
        <f t="shared" si="128"/>
        <v>57511.893930792809</v>
      </c>
      <c r="P126">
        <f t="shared" si="128"/>
        <v>20586.751754939556</v>
      </c>
      <c r="Q126">
        <f t="shared" si="128"/>
        <v>38610.177913278341</v>
      </c>
      <c r="R126">
        <f t="shared" si="101"/>
        <v>603.28402989497408</v>
      </c>
    </row>
    <row r="127" spans="1:18" x14ac:dyDescent="0.25">
      <c r="A127">
        <v>126</v>
      </c>
      <c r="B127" t="s">
        <v>149</v>
      </c>
      <c r="C127">
        <v>1</v>
      </c>
      <c r="D127">
        <v>-1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13368424.84614609</v>
      </c>
      <c r="K127">
        <f t="shared" ref="K127:Q127" si="129">J125-J124</f>
        <v>48075699.156912625</v>
      </c>
      <c r="L127">
        <f t="shared" si="129"/>
        <v>35347353.506254241</v>
      </c>
      <c r="M127">
        <f t="shared" si="129"/>
        <v>6328490.7309332676</v>
      </c>
      <c r="N127">
        <f t="shared" si="129"/>
        <v>-58560.666985306889</v>
      </c>
      <c r="O127">
        <f t="shared" si="129"/>
        <v>81331.907650955021</v>
      </c>
      <c r="P127">
        <f t="shared" si="129"/>
        <v>31124.104735314846</v>
      </c>
      <c r="Q127">
        <f t="shared" si="129"/>
        <v>34484.46270377934</v>
      </c>
      <c r="R127">
        <f t="shared" si="101"/>
        <v>538.81972974655218</v>
      </c>
    </row>
    <row r="128" spans="1:18" x14ac:dyDescent="0.25">
      <c r="A128">
        <v>127</v>
      </c>
      <c r="B128" t="s">
        <v>150</v>
      </c>
      <c r="C128">
        <v>-1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32172081.435855061</v>
      </c>
      <c r="K128">
        <f t="shared" ref="K128:Q128" si="130">J127-J126</f>
        <v>12711404.784393132</v>
      </c>
      <c r="L128">
        <f t="shared" si="130"/>
        <v>28724222.890042488</v>
      </c>
      <c r="M128">
        <f t="shared" si="130"/>
        <v>6527087.4990942627</v>
      </c>
      <c r="N128">
        <f t="shared" si="130"/>
        <v>-128058.69383899122</v>
      </c>
      <c r="O128">
        <f t="shared" si="130"/>
        <v>37107.545750834048</v>
      </c>
      <c r="P128">
        <f t="shared" si="130"/>
        <v>23820.013720162213</v>
      </c>
      <c r="Q128">
        <f t="shared" si="130"/>
        <v>10537.35298037529</v>
      </c>
      <c r="R128">
        <f t="shared" si="101"/>
        <v>164.6461403183639</v>
      </c>
    </row>
    <row r="129" spans="1:18" x14ac:dyDescent="0.25">
      <c r="A129">
        <v>128</v>
      </c>
      <c r="B129" t="s">
        <v>151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80077448.725536883</v>
      </c>
      <c r="K129">
        <f t="shared" ref="K129:Q129" si="131">J129-J128</f>
        <v>47905367.289681822</v>
      </c>
      <c r="L129">
        <f t="shared" si="131"/>
        <v>35193962.50528869</v>
      </c>
      <c r="M129">
        <f t="shared" si="131"/>
        <v>6469739.6152462028</v>
      </c>
      <c r="N129">
        <f t="shared" si="131"/>
        <v>-57347.883848059922</v>
      </c>
      <c r="O129">
        <f t="shared" si="131"/>
        <v>70710.809990931302</v>
      </c>
      <c r="P129">
        <f t="shared" si="131"/>
        <v>33603.264240097255</v>
      </c>
      <c r="Q129">
        <f t="shared" si="131"/>
        <v>9783.2505199350417</v>
      </c>
      <c r="R129">
        <f t="shared" si="101"/>
        <v>152.86328937398503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29"/>
  <sheetViews>
    <sheetView workbookViewId="0"/>
  </sheetViews>
  <sheetFormatPr baseColWidth="10" defaultColWidth="9.140625" defaultRowHeight="15" x14ac:dyDescent="0.25"/>
  <sheetData>
    <row r="1" spans="1:18" x14ac:dyDescent="0.25">
      <c r="A1" t="s">
        <v>202</v>
      </c>
      <c r="B1" t="s">
        <v>203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</row>
    <row r="2" spans="1:18" x14ac:dyDescent="0.25">
      <c r="A2">
        <v>1</v>
      </c>
      <c r="B2" t="s">
        <v>24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2240322326.9893298</v>
      </c>
      <c r="K2">
        <f t="shared" ref="K2:Q2" si="0">J2+J3</f>
        <v>9191969359.1639767</v>
      </c>
      <c r="L2">
        <f t="shared" si="0"/>
        <v>30566480110.753166</v>
      </c>
      <c r="M2">
        <f t="shared" si="0"/>
        <v>64948921415.484474</v>
      </c>
      <c r="N2">
        <f t="shared" si="0"/>
        <v>128924511063.05331</v>
      </c>
      <c r="O2">
        <f t="shared" si="0"/>
        <v>258762097976.51584</v>
      </c>
      <c r="P2">
        <f t="shared" si="0"/>
        <v>516630533570.90027</v>
      </c>
      <c r="Q2">
        <f t="shared" si="0"/>
        <v>1008982531466.9409</v>
      </c>
      <c r="R2">
        <f>Q2/128</f>
        <v>7882676027.0854759</v>
      </c>
    </row>
    <row r="3" spans="1:18" x14ac:dyDescent="0.25">
      <c r="A3">
        <v>2</v>
      </c>
      <c r="B3" t="s">
        <v>25</v>
      </c>
      <c r="C3">
        <v>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6951647032.1746464</v>
      </c>
      <c r="K3">
        <f t="shared" ref="K3:Q3" si="1">J4+J5</f>
        <v>21374510751.589188</v>
      </c>
      <c r="L3">
        <f t="shared" si="1"/>
        <v>34382441304.731308</v>
      </c>
      <c r="M3">
        <f t="shared" si="1"/>
        <v>63975589647.568848</v>
      </c>
      <c r="N3">
        <f t="shared" si="1"/>
        <v>129837586913.46252</v>
      </c>
      <c r="O3">
        <f t="shared" si="1"/>
        <v>257868435594.38446</v>
      </c>
      <c r="P3">
        <f t="shared" si="1"/>
        <v>492351997896.04071</v>
      </c>
      <c r="Q3">
        <f t="shared" si="1"/>
        <v>218041304588.26785</v>
      </c>
      <c r="R3">
        <f t="shared" ref="R3:R34" si="2">Q3/64</f>
        <v>3406895384.1916852</v>
      </c>
    </row>
    <row r="4" spans="1:18" x14ac:dyDescent="0.25">
      <c r="A4">
        <v>3</v>
      </c>
      <c r="B4" t="s">
        <v>26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9769408890.0874252</v>
      </c>
      <c r="K4">
        <f t="shared" ref="K4:Q4" si="3">J6+J7</f>
        <v>11214444330.233284</v>
      </c>
      <c r="L4">
        <f t="shared" si="3"/>
        <v>30026712429.403168</v>
      </c>
      <c r="M4">
        <f t="shared" si="3"/>
        <v>65272247273.623703</v>
      </c>
      <c r="N4">
        <f t="shared" si="3"/>
        <v>128391671546.27473</v>
      </c>
      <c r="O4">
        <f t="shared" si="3"/>
        <v>246655263157.53192</v>
      </c>
      <c r="P4">
        <f t="shared" si="3"/>
        <v>107749407809.09538</v>
      </c>
      <c r="Q4">
        <f t="shared" si="3"/>
        <v>385180622146.08459</v>
      </c>
      <c r="R4">
        <f t="shared" si="2"/>
        <v>6018447221.0325718</v>
      </c>
    </row>
    <row r="5" spans="1:18" x14ac:dyDescent="0.25">
      <c r="A5">
        <v>4</v>
      </c>
      <c r="B5" t="s">
        <v>27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11605101861.50176</v>
      </c>
      <c r="K5">
        <f t="shared" ref="K5:Q5" si="4">J8+J9</f>
        <v>23167996974.49802</v>
      </c>
      <c r="L5">
        <f t="shared" si="4"/>
        <v>33948877218.165676</v>
      </c>
      <c r="M5">
        <f t="shared" si="4"/>
        <v>64565339639.838821</v>
      </c>
      <c r="N5">
        <f t="shared" si="4"/>
        <v>129476764048.10971</v>
      </c>
      <c r="O5">
        <f t="shared" si="4"/>
        <v>245696734738.50879</v>
      </c>
      <c r="P5">
        <f t="shared" si="4"/>
        <v>110291896779.17247</v>
      </c>
      <c r="Q5">
        <f t="shared" si="4"/>
        <v>-102972620601.2049</v>
      </c>
      <c r="R5">
        <f t="shared" si="2"/>
        <v>-1608947196.8938265</v>
      </c>
    </row>
    <row r="6" spans="1:18" x14ac:dyDescent="0.25">
      <c r="A6">
        <v>5</v>
      </c>
      <c r="B6" t="s">
        <v>28</v>
      </c>
      <c r="C6">
        <v>-1</v>
      </c>
      <c r="D6">
        <v>-1</v>
      </c>
      <c r="E6">
        <v>1</v>
      </c>
      <c r="F6">
        <v>-1</v>
      </c>
      <c r="G6">
        <v>-1</v>
      </c>
      <c r="H6">
        <v>-1</v>
      </c>
      <c r="I6">
        <v>-1</v>
      </c>
      <c r="J6">
        <v>2966990372.6944981</v>
      </c>
      <c r="K6">
        <f t="shared" ref="K6:Q6" si="5">J10+J11</f>
        <v>9093506977.9903336</v>
      </c>
      <c r="L6">
        <f t="shared" si="5"/>
        <v>30774812786.396534</v>
      </c>
      <c r="M6">
        <f t="shared" si="5"/>
        <v>64721992150.146423</v>
      </c>
      <c r="N6">
        <f t="shared" si="5"/>
        <v>122954011554.21725</v>
      </c>
      <c r="O6">
        <f t="shared" si="5"/>
        <v>54120608470.962318</v>
      </c>
      <c r="P6">
        <f t="shared" si="5"/>
        <v>190292252525.18414</v>
      </c>
      <c r="Q6">
        <f t="shared" si="5"/>
        <v>61357039233.532959</v>
      </c>
      <c r="R6">
        <f t="shared" si="2"/>
        <v>958703738.02395248</v>
      </c>
    </row>
    <row r="7" spans="1:18" x14ac:dyDescent="0.25">
      <c r="A7">
        <v>6</v>
      </c>
      <c r="B7" t="s">
        <v>29</v>
      </c>
      <c r="C7">
        <v>1</v>
      </c>
      <c r="D7">
        <v>-1</v>
      </c>
      <c r="E7">
        <v>1</v>
      </c>
      <c r="F7">
        <v>-1</v>
      </c>
      <c r="G7">
        <v>-1</v>
      </c>
      <c r="H7">
        <v>-1</v>
      </c>
      <c r="I7">
        <v>-1</v>
      </c>
      <c r="J7">
        <v>8247453957.5387859</v>
      </c>
      <c r="K7">
        <f t="shared" ref="K7:Q7" si="6">J12+J13</f>
        <v>20933205451.412834</v>
      </c>
      <c r="L7">
        <f t="shared" si="6"/>
        <v>34497434487.227173</v>
      </c>
      <c r="M7">
        <f t="shared" si="6"/>
        <v>63669679396.128311</v>
      </c>
      <c r="N7">
        <f t="shared" si="6"/>
        <v>123701251603.31467</v>
      </c>
      <c r="O7">
        <f t="shared" si="6"/>
        <v>53628799338.133064</v>
      </c>
      <c r="P7">
        <f t="shared" si="6"/>
        <v>194888369620.90042</v>
      </c>
      <c r="Q7">
        <f t="shared" si="6"/>
        <v>8583872080.2807178</v>
      </c>
      <c r="R7">
        <f t="shared" si="2"/>
        <v>134123001.25438622</v>
      </c>
    </row>
    <row r="8" spans="1:18" x14ac:dyDescent="0.25">
      <c r="A8">
        <v>7</v>
      </c>
      <c r="B8" t="s">
        <v>30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10682016016.35836</v>
      </c>
      <c r="K8">
        <f t="shared" ref="K8:Q8" si="7">J14+J15</f>
        <v>11182796570.080776</v>
      </c>
      <c r="L8">
        <f t="shared" si="7"/>
        <v>30400885789.452282</v>
      </c>
      <c r="M8">
        <f t="shared" si="7"/>
        <v>65126508551.090309</v>
      </c>
      <c r="N8">
        <f t="shared" si="7"/>
        <v>122434154092.62766</v>
      </c>
      <c r="O8">
        <f t="shared" si="7"/>
        <v>55288152941.754501</v>
      </c>
      <c r="P8">
        <f t="shared" si="7"/>
        <v>-51973372796.471375</v>
      </c>
      <c r="Q8">
        <f t="shared" si="7"/>
        <v>-3602936207.6281967</v>
      </c>
      <c r="R8">
        <f t="shared" si="2"/>
        <v>-56295878.244190574</v>
      </c>
    </row>
    <row r="9" spans="1:18" x14ac:dyDescent="0.25">
      <c r="A9">
        <v>8</v>
      </c>
      <c r="B9" t="s">
        <v>31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-1</v>
      </c>
      <c r="J9">
        <v>12485980958.13966</v>
      </c>
      <c r="K9">
        <f t="shared" ref="K9:Q9" si="8">J16+J17</f>
        <v>22766080648.0849</v>
      </c>
      <c r="L9">
        <f t="shared" si="8"/>
        <v>34164453850.386543</v>
      </c>
      <c r="M9">
        <f t="shared" si="8"/>
        <v>64350255497.019394</v>
      </c>
      <c r="N9">
        <f t="shared" si="8"/>
        <v>123262580645.88112</v>
      </c>
      <c r="O9">
        <f t="shared" si="8"/>
        <v>55003743837.417969</v>
      </c>
      <c r="P9">
        <f t="shared" si="8"/>
        <v>-50999247804.733521</v>
      </c>
      <c r="Q9">
        <f t="shared" si="8"/>
        <v>-9760328779.931078</v>
      </c>
      <c r="R9">
        <f t="shared" si="2"/>
        <v>-152505137.18642309</v>
      </c>
    </row>
    <row r="10" spans="1:18" x14ac:dyDescent="0.25">
      <c r="A10">
        <v>9</v>
      </c>
      <c r="B10" t="s">
        <v>32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2235732403.260076</v>
      </c>
      <c r="K10">
        <f t="shared" ref="K10:Q10" si="9">J18+J19</f>
        <v>9280494929.0925102</v>
      </c>
      <c r="L10">
        <f t="shared" si="9"/>
        <v>30453226411.010887</v>
      </c>
      <c r="M10">
        <f t="shared" si="9"/>
        <v>61735996688.498444</v>
      </c>
      <c r="N10">
        <f t="shared" si="9"/>
        <v>26860096554.299351</v>
      </c>
      <c r="O10">
        <f t="shared" si="9"/>
        <v>95344989223.184921</v>
      </c>
      <c r="P10">
        <f t="shared" si="9"/>
        <v>30443757328.764153</v>
      </c>
      <c r="Q10">
        <f t="shared" si="9"/>
        <v>-5520236190.7638474</v>
      </c>
      <c r="R10">
        <f t="shared" si="2"/>
        <v>-86253690.480685115</v>
      </c>
    </row>
    <row r="11" spans="1:18" x14ac:dyDescent="0.25">
      <c r="A11">
        <v>10</v>
      </c>
      <c r="B11" t="s">
        <v>33</v>
      </c>
      <c r="C11">
        <v>1</v>
      </c>
      <c r="D11">
        <v>-1</v>
      </c>
      <c r="E11">
        <v>-1</v>
      </c>
      <c r="F11">
        <v>1</v>
      </c>
      <c r="G11">
        <v>-1</v>
      </c>
      <c r="H11">
        <v>-1</v>
      </c>
      <c r="I11">
        <v>-1</v>
      </c>
      <c r="J11">
        <v>6857774574.730257</v>
      </c>
      <c r="K11">
        <f t="shared" ref="K11:Q11" si="10">J20+J21</f>
        <v>21494317857.304024</v>
      </c>
      <c r="L11">
        <f t="shared" si="10"/>
        <v>34268765739.135536</v>
      </c>
      <c r="M11">
        <f t="shared" si="10"/>
        <v>61218014865.718819</v>
      </c>
      <c r="N11">
        <f t="shared" si="10"/>
        <v>27260511916.662968</v>
      </c>
      <c r="O11">
        <f t="shared" si="10"/>
        <v>94947263301.999207</v>
      </c>
      <c r="P11">
        <f t="shared" si="10"/>
        <v>30913281904.76881</v>
      </c>
      <c r="Q11">
        <f t="shared" si="10"/>
        <v>-2533845965.3082428</v>
      </c>
      <c r="R11">
        <f t="shared" si="2"/>
        <v>-39591343.207941294</v>
      </c>
    </row>
    <row r="12" spans="1:18" x14ac:dyDescent="0.25">
      <c r="A12">
        <v>11</v>
      </c>
      <c r="B12" t="s">
        <v>34</v>
      </c>
      <c r="C12">
        <v>-1</v>
      </c>
      <c r="D12">
        <v>1</v>
      </c>
      <c r="E12">
        <v>-1</v>
      </c>
      <c r="F12">
        <v>1</v>
      </c>
      <c r="G12">
        <v>-1</v>
      </c>
      <c r="H12">
        <v>-1</v>
      </c>
      <c r="I12">
        <v>-1</v>
      </c>
      <c r="J12">
        <v>9605022651.5169125</v>
      </c>
      <c r="K12">
        <f t="shared" ref="K12:Q12" si="11">J22+J23</f>
        <v>11256087709.998165</v>
      </c>
      <c r="L12">
        <f t="shared" si="11"/>
        <v>29863729815.331249</v>
      </c>
      <c r="M12">
        <f t="shared" si="11"/>
        <v>61996160342.586632</v>
      </c>
      <c r="N12">
        <f t="shared" si="11"/>
        <v>26572712668.189713</v>
      </c>
      <c r="O12">
        <f t="shared" si="11"/>
        <v>97802452352.310486</v>
      </c>
      <c r="P12">
        <f t="shared" si="11"/>
        <v>3928882167.4613771</v>
      </c>
      <c r="Q12">
        <f t="shared" si="11"/>
        <v>-5786927318.6838264</v>
      </c>
      <c r="R12">
        <f t="shared" si="2"/>
        <v>-90420739.354434788</v>
      </c>
    </row>
    <row r="13" spans="1:18" x14ac:dyDescent="0.25">
      <c r="A13">
        <v>12</v>
      </c>
      <c r="B13" t="s">
        <v>35</v>
      </c>
      <c r="C13">
        <v>1</v>
      </c>
      <c r="D13">
        <v>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11328182799.89592</v>
      </c>
      <c r="K13">
        <f t="shared" ref="K13:Q13" si="12">J24+J25</f>
        <v>23241346777.229012</v>
      </c>
      <c r="L13">
        <f t="shared" si="12"/>
        <v>33805949580.797058</v>
      </c>
      <c r="M13">
        <f t="shared" si="12"/>
        <v>61705091260.728035</v>
      </c>
      <c r="N13">
        <f t="shared" si="12"/>
        <v>27056086669.943352</v>
      </c>
      <c r="O13">
        <f t="shared" si="12"/>
        <v>97085917268.589935</v>
      </c>
      <c r="P13">
        <f t="shared" si="12"/>
        <v>4654989912.8193407</v>
      </c>
      <c r="Q13">
        <f t="shared" si="12"/>
        <v>-1415669475.8099461</v>
      </c>
      <c r="R13">
        <f t="shared" si="2"/>
        <v>-22119835.559530407</v>
      </c>
    </row>
    <row r="14" spans="1:18" x14ac:dyDescent="0.25">
      <c r="A14">
        <v>13</v>
      </c>
      <c r="B14" t="s">
        <v>36</v>
      </c>
      <c r="C14">
        <v>-1</v>
      </c>
      <c r="D14">
        <v>-1</v>
      </c>
      <c r="E14">
        <v>1</v>
      </c>
      <c r="F14">
        <v>1</v>
      </c>
      <c r="G14">
        <v>-1</v>
      </c>
      <c r="H14">
        <v>-1</v>
      </c>
      <c r="I14">
        <v>-1</v>
      </c>
      <c r="J14">
        <v>2973325154.1085248</v>
      </c>
      <c r="K14">
        <f t="shared" ref="K14:Q14" si="13">J26+J27</f>
        <v>9247413065.9674492</v>
      </c>
      <c r="L14">
        <f t="shared" si="13"/>
        <v>30707895814.024788</v>
      </c>
      <c r="M14">
        <f t="shared" si="13"/>
        <v>61579921472.564774</v>
      </c>
      <c r="N14">
        <f t="shared" si="13"/>
        <v>27446509125.409046</v>
      </c>
      <c r="O14">
        <f t="shared" si="13"/>
        <v>-25869413173.899197</v>
      </c>
      <c r="P14">
        <f t="shared" si="13"/>
        <v>-2000226678.4246178</v>
      </c>
      <c r="Q14">
        <f t="shared" si="13"/>
        <v>623628610.72791672</v>
      </c>
      <c r="R14">
        <f t="shared" si="2"/>
        <v>9744197.0426236987</v>
      </c>
    </row>
    <row r="15" spans="1:18" x14ac:dyDescent="0.25">
      <c r="A15">
        <v>14</v>
      </c>
      <c r="B15" t="s">
        <v>37</v>
      </c>
      <c r="C15">
        <v>1</v>
      </c>
      <c r="D15">
        <v>-1</v>
      </c>
      <c r="E15">
        <v>1</v>
      </c>
      <c r="F15">
        <v>1</v>
      </c>
      <c r="G15">
        <v>-1</v>
      </c>
      <c r="H15">
        <v>-1</v>
      </c>
      <c r="I15">
        <v>-1</v>
      </c>
      <c r="J15">
        <v>8209471415.9722509</v>
      </c>
      <c r="K15">
        <f t="shared" ref="K15:Q15" si="14">J28+J29</f>
        <v>21153472723.484833</v>
      </c>
      <c r="L15">
        <f t="shared" si="14"/>
        <v>34418612737.065521</v>
      </c>
      <c r="M15">
        <f t="shared" si="14"/>
        <v>60854232620.062881</v>
      </c>
      <c r="N15">
        <f t="shared" si="14"/>
        <v>27841643816.345459</v>
      </c>
      <c r="O15">
        <f t="shared" si="14"/>
        <v>-26103959622.572182</v>
      </c>
      <c r="P15">
        <f t="shared" si="14"/>
        <v>-1602709529.2035789</v>
      </c>
      <c r="Q15">
        <f t="shared" si="14"/>
        <v>-910602.41841888428</v>
      </c>
      <c r="R15">
        <f t="shared" si="2"/>
        <v>-14228.162787795067</v>
      </c>
    </row>
    <row r="16" spans="1:18" x14ac:dyDescent="0.25">
      <c r="A16">
        <v>15</v>
      </c>
      <c r="B16" t="s">
        <v>38</v>
      </c>
      <c r="C16">
        <v>-1</v>
      </c>
      <c r="D16">
        <v>1</v>
      </c>
      <c r="E16">
        <v>1</v>
      </c>
      <c r="F16">
        <v>1</v>
      </c>
      <c r="G16">
        <v>-1</v>
      </c>
      <c r="H16">
        <v>-1</v>
      </c>
      <c r="I16">
        <v>-1</v>
      </c>
      <c r="J16">
        <v>10559389439.361851</v>
      </c>
      <c r="K16">
        <f t="shared" ref="K16:Q16" si="15">J30+J31</f>
        <v>11241841434.138973</v>
      </c>
      <c r="L16">
        <f t="shared" si="15"/>
        <v>30299644964.695992</v>
      </c>
      <c r="M16">
        <f t="shared" si="15"/>
        <v>61869635934.857658</v>
      </c>
      <c r="N16">
        <f t="shared" si="15"/>
        <v>27297369895.721771</v>
      </c>
      <c r="O16">
        <f t="shared" si="15"/>
        <v>-25442071228.767719</v>
      </c>
      <c r="P16">
        <f t="shared" si="15"/>
        <v>-5090818959.5324259</v>
      </c>
      <c r="Q16">
        <f t="shared" si="15"/>
        <v>-12668948.661891937</v>
      </c>
      <c r="R16">
        <f t="shared" si="2"/>
        <v>-197952.32284206152</v>
      </c>
    </row>
    <row r="17" spans="1:18" x14ac:dyDescent="0.25">
      <c r="A17">
        <v>16</v>
      </c>
      <c r="B17" t="s">
        <v>39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12206691208.723049</v>
      </c>
      <c r="K17">
        <f t="shared" ref="K17:Q17" si="16">J32+J33</f>
        <v>22922612416.24757</v>
      </c>
      <c r="L17">
        <f t="shared" si="16"/>
        <v>34050610532.323402</v>
      </c>
      <c r="M17">
        <f t="shared" si="16"/>
        <v>61392944711.02346</v>
      </c>
      <c r="N17">
        <f t="shared" si="16"/>
        <v>27706373941.696201</v>
      </c>
      <c r="O17">
        <f t="shared" si="16"/>
        <v>-25557176575.965805</v>
      </c>
      <c r="P17">
        <f t="shared" si="16"/>
        <v>-4669509820.3986521</v>
      </c>
      <c r="Q17">
        <f t="shared" si="16"/>
        <v>-408092736.17840576</v>
      </c>
      <c r="R17">
        <f t="shared" si="2"/>
        <v>-6376449.00278759</v>
      </c>
    </row>
    <row r="18" spans="1:18" x14ac:dyDescent="0.25">
      <c r="A18">
        <v>17</v>
      </c>
      <c r="B18" t="s">
        <v>40</v>
      </c>
      <c r="C18">
        <v>-1</v>
      </c>
      <c r="D18">
        <v>-1</v>
      </c>
      <c r="E18">
        <v>-1</v>
      </c>
      <c r="F18">
        <v>-1</v>
      </c>
      <c r="G18">
        <v>1</v>
      </c>
      <c r="H18">
        <v>-1</v>
      </c>
      <c r="I18">
        <v>-1</v>
      </c>
      <c r="J18">
        <v>2246692780.0836191</v>
      </c>
      <c r="K18">
        <f t="shared" ref="K18:Q18" si="17">J34+J35</f>
        <v>9121858342.1891098</v>
      </c>
      <c r="L18">
        <f t="shared" si="17"/>
        <v>28939720269.547291</v>
      </c>
      <c r="M18">
        <f t="shared" si="17"/>
        <v>13631446203.225239</v>
      </c>
      <c r="N18">
        <f t="shared" si="17"/>
        <v>47559076588.116577</v>
      </c>
      <c r="O18">
        <f t="shared" si="17"/>
        <v>15224315744.50555</v>
      </c>
      <c r="P18">
        <f t="shared" si="17"/>
        <v>-3508805209.7895355</v>
      </c>
      <c r="Q18">
        <f t="shared" si="17"/>
        <v>3573834954.5950623</v>
      </c>
      <c r="R18">
        <f t="shared" si="2"/>
        <v>55841171.165547848</v>
      </c>
    </row>
    <row r="19" spans="1:18" x14ac:dyDescent="0.25">
      <c r="A19">
        <v>18</v>
      </c>
      <c r="B19" t="s">
        <v>41</v>
      </c>
      <c r="C19">
        <v>1</v>
      </c>
      <c r="D19">
        <v>-1</v>
      </c>
      <c r="E19">
        <v>-1</v>
      </c>
      <c r="F19">
        <v>-1</v>
      </c>
      <c r="G19">
        <v>1</v>
      </c>
      <c r="H19">
        <v>-1</v>
      </c>
      <c r="I19">
        <v>-1</v>
      </c>
      <c r="J19">
        <v>7033802149.0088911</v>
      </c>
      <c r="K19">
        <f t="shared" ref="K19:Q19" si="18">J36+J37</f>
        <v>21331368068.821777</v>
      </c>
      <c r="L19">
        <f t="shared" si="18"/>
        <v>32796276418.951153</v>
      </c>
      <c r="M19">
        <f t="shared" si="18"/>
        <v>13228650351.074112</v>
      </c>
      <c r="N19">
        <f t="shared" si="18"/>
        <v>47785912635.068344</v>
      </c>
      <c r="O19">
        <f t="shared" si="18"/>
        <v>15219441584.258602</v>
      </c>
      <c r="P19">
        <f t="shared" si="18"/>
        <v>-2011430980.9743118</v>
      </c>
      <c r="Q19">
        <f t="shared" si="18"/>
        <v>1687928101.0280991</v>
      </c>
      <c r="R19">
        <f t="shared" si="2"/>
        <v>26373876.578564048</v>
      </c>
    </row>
    <row r="20" spans="1:18" x14ac:dyDescent="0.25">
      <c r="A20">
        <v>19</v>
      </c>
      <c r="B20" t="s">
        <v>42</v>
      </c>
      <c r="C20">
        <v>-1</v>
      </c>
      <c r="D20">
        <v>1</v>
      </c>
      <c r="E20">
        <v>-1</v>
      </c>
      <c r="F20">
        <v>-1</v>
      </c>
      <c r="G20">
        <v>1</v>
      </c>
      <c r="H20">
        <v>-1</v>
      </c>
      <c r="I20">
        <v>-1</v>
      </c>
      <c r="J20">
        <v>9814455087.3927765</v>
      </c>
      <c r="K20">
        <f t="shared" ref="K20:Q20" si="19">J38+J39</f>
        <v>11168656891.295258</v>
      </c>
      <c r="L20">
        <f t="shared" si="19"/>
        <v>28624485444.235466</v>
      </c>
      <c r="M20">
        <f t="shared" si="19"/>
        <v>13797199635.381014</v>
      </c>
      <c r="N20">
        <f t="shared" si="19"/>
        <v>47364006327.601837</v>
      </c>
      <c r="O20">
        <f t="shared" si="19"/>
        <v>15435893483.434891</v>
      </c>
      <c r="P20">
        <f t="shared" si="19"/>
        <v>-1523546465.7284184</v>
      </c>
      <c r="Q20">
        <f t="shared" si="19"/>
        <v>946729615.49238586</v>
      </c>
      <c r="R20">
        <f t="shared" si="2"/>
        <v>14792650.242068529</v>
      </c>
    </row>
    <row r="21" spans="1:18" x14ac:dyDescent="0.25">
      <c r="A21">
        <v>20</v>
      </c>
      <c r="B21" t="s">
        <v>43</v>
      </c>
      <c r="C21">
        <v>1</v>
      </c>
      <c r="D21">
        <v>1</v>
      </c>
      <c r="E21">
        <v>-1</v>
      </c>
      <c r="F21">
        <v>-1</v>
      </c>
      <c r="G21">
        <v>1</v>
      </c>
      <c r="H21">
        <v>-1</v>
      </c>
      <c r="I21">
        <v>-1</v>
      </c>
      <c r="J21">
        <v>11679862769.911249</v>
      </c>
      <c r="K21">
        <f t="shared" ref="K21:Q21" si="20">J40+J41</f>
        <v>23100108847.840279</v>
      </c>
      <c r="L21">
        <f t="shared" si="20"/>
        <v>32593529421.483353</v>
      </c>
      <c r="M21">
        <f t="shared" si="20"/>
        <v>13463312281.281954</v>
      </c>
      <c r="N21">
        <f t="shared" si="20"/>
        <v>47583256974.397369</v>
      </c>
      <c r="O21">
        <f t="shared" si="20"/>
        <v>15477388421.33392</v>
      </c>
      <c r="P21">
        <f t="shared" si="20"/>
        <v>-1010299499.5798244</v>
      </c>
      <c r="Q21">
        <f t="shared" si="20"/>
        <v>-617813718.35337448</v>
      </c>
      <c r="R21">
        <f t="shared" si="2"/>
        <v>-9653339.3492714763</v>
      </c>
    </row>
    <row r="22" spans="1:18" x14ac:dyDescent="0.25">
      <c r="A22">
        <v>21</v>
      </c>
      <c r="B22" t="s">
        <v>44</v>
      </c>
      <c r="C22">
        <v>-1</v>
      </c>
      <c r="D22">
        <v>-1</v>
      </c>
      <c r="E22">
        <v>1</v>
      </c>
      <c r="F22">
        <v>-1</v>
      </c>
      <c r="G22">
        <v>1</v>
      </c>
      <c r="H22">
        <v>-1</v>
      </c>
      <c r="I22">
        <v>-1</v>
      </c>
      <c r="J22">
        <v>2968971492.1199031</v>
      </c>
      <c r="K22">
        <f t="shared" ref="K22:Q22" si="21">J42+J43</f>
        <v>9057061420.9071999</v>
      </c>
      <c r="L22">
        <f t="shared" si="21"/>
        <v>29106805945.638496</v>
      </c>
      <c r="M22">
        <f t="shared" si="21"/>
        <v>13494075573.418427</v>
      </c>
      <c r="N22">
        <f t="shared" si="21"/>
        <v>48773937915.826538</v>
      </c>
      <c r="O22">
        <f t="shared" si="21"/>
        <v>2025469050.0523224</v>
      </c>
      <c r="P22">
        <f t="shared" si="21"/>
        <v>-3004338096.9670601</v>
      </c>
      <c r="Q22">
        <f t="shared" si="21"/>
        <v>-985538411.64099503</v>
      </c>
      <c r="R22">
        <f t="shared" si="2"/>
        <v>-15399037.681890547</v>
      </c>
    </row>
    <row r="23" spans="1:18" x14ac:dyDescent="0.25">
      <c r="A23">
        <v>22</v>
      </c>
      <c r="B23" t="s">
        <v>45</v>
      </c>
      <c r="C23">
        <v>1</v>
      </c>
      <c r="D23">
        <v>-1</v>
      </c>
      <c r="E23">
        <v>1</v>
      </c>
      <c r="F23">
        <v>-1</v>
      </c>
      <c r="G23">
        <v>1</v>
      </c>
      <c r="H23">
        <v>-1</v>
      </c>
      <c r="I23">
        <v>-1</v>
      </c>
      <c r="J23">
        <v>8287116217.8782616</v>
      </c>
      <c r="K23">
        <f t="shared" ref="K23:Q23" si="22">J44+J45</f>
        <v>20806668394.424049</v>
      </c>
      <c r="L23">
        <f t="shared" si="22"/>
        <v>32889354396.948135</v>
      </c>
      <c r="M23">
        <f t="shared" si="22"/>
        <v>13078637094.771286</v>
      </c>
      <c r="N23">
        <f t="shared" si="22"/>
        <v>49028514436.483948</v>
      </c>
      <c r="O23">
        <f t="shared" si="22"/>
        <v>1903413117.4090548</v>
      </c>
      <c r="P23">
        <f t="shared" si="22"/>
        <v>-2782589221.7167664</v>
      </c>
      <c r="Q23">
        <f t="shared" si="22"/>
        <v>-504600187.51181793</v>
      </c>
      <c r="R23">
        <f t="shared" si="2"/>
        <v>-7884377.9298721552</v>
      </c>
    </row>
    <row r="24" spans="1:18" x14ac:dyDescent="0.25">
      <c r="A24">
        <v>23</v>
      </c>
      <c r="B24" t="s">
        <v>46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10707404459.525049</v>
      </c>
      <c r="K24">
        <f t="shared" ref="K24:Q24" si="23">J46+J47</f>
        <v>11166255954.944878</v>
      </c>
      <c r="L24">
        <f t="shared" si="23"/>
        <v>28938673177.627266</v>
      </c>
      <c r="M24">
        <f t="shared" si="23"/>
        <v>13713755725.387222</v>
      </c>
      <c r="N24">
        <f t="shared" si="23"/>
        <v>48419925433.751129</v>
      </c>
      <c r="O24">
        <f t="shared" si="23"/>
        <v>2318484455.9400444</v>
      </c>
      <c r="P24">
        <f t="shared" si="23"/>
        <v>-985225284.78697491</v>
      </c>
      <c r="Q24">
        <f t="shared" si="23"/>
        <v>149714594.2434845</v>
      </c>
      <c r="R24">
        <f t="shared" si="2"/>
        <v>2339290.5350544453</v>
      </c>
    </row>
    <row r="25" spans="1:18" x14ac:dyDescent="0.25">
      <c r="A25">
        <v>24</v>
      </c>
      <c r="B25"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12533942317.70396</v>
      </c>
      <c r="K25">
        <f t="shared" ref="K25:Q25" si="24">J48+J49</f>
        <v>22639693625.85218</v>
      </c>
      <c r="L25">
        <f t="shared" si="24"/>
        <v>32766418083.100769</v>
      </c>
      <c r="M25">
        <f t="shared" si="24"/>
        <v>13342330944.556131</v>
      </c>
      <c r="N25">
        <f t="shared" si="24"/>
        <v>48665991834.838806</v>
      </c>
      <c r="O25">
        <f t="shared" si="24"/>
        <v>2336505456.8792963</v>
      </c>
      <c r="P25">
        <f t="shared" si="24"/>
        <v>-430444191.02297115</v>
      </c>
      <c r="Q25">
        <f t="shared" si="24"/>
        <v>441644721.4473877</v>
      </c>
      <c r="R25">
        <f t="shared" si="2"/>
        <v>6900698.7726154327</v>
      </c>
    </row>
    <row r="26" spans="1:18" x14ac:dyDescent="0.25">
      <c r="A26">
        <v>25</v>
      </c>
      <c r="B26" t="s">
        <v>48</v>
      </c>
      <c r="C26">
        <v>-1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2247924912.0908599</v>
      </c>
      <c r="K26">
        <f t="shared" ref="K26:Q26" si="25">J50+J51</f>
        <v>9248144422.7620163</v>
      </c>
      <c r="L26">
        <f t="shared" si="25"/>
        <v>28857397635.76643</v>
      </c>
      <c r="M26">
        <f t="shared" si="25"/>
        <v>13866399752.941029</v>
      </c>
      <c r="N26">
        <f t="shared" si="25"/>
        <v>-12839856892.42767</v>
      </c>
      <c r="O26">
        <f t="shared" si="25"/>
        <v>-939255679.96830559</v>
      </c>
      <c r="P26">
        <f t="shared" si="25"/>
        <v>314079036.81582642</v>
      </c>
      <c r="Q26">
        <f t="shared" si="25"/>
        <v>1018394203.6666641</v>
      </c>
      <c r="R26">
        <f t="shared" si="2"/>
        <v>15912409.432291627</v>
      </c>
    </row>
    <row r="27" spans="1:18" x14ac:dyDescent="0.25">
      <c r="A27">
        <v>26</v>
      </c>
      <c r="B27" t="s">
        <v>49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6999488153.8765888</v>
      </c>
      <c r="K27">
        <f t="shared" ref="K27:Q27" si="26">J52+J53</f>
        <v>21459751391.262772</v>
      </c>
      <c r="L27">
        <f t="shared" si="26"/>
        <v>32722523836.798344</v>
      </c>
      <c r="M27">
        <f t="shared" si="26"/>
        <v>13580109372.468018</v>
      </c>
      <c r="N27">
        <f t="shared" si="26"/>
        <v>-13029556281.471527</v>
      </c>
      <c r="O27">
        <f t="shared" si="26"/>
        <v>-1060970998.4563122</v>
      </c>
      <c r="P27">
        <f t="shared" si="26"/>
        <v>309549573.9120903</v>
      </c>
      <c r="Q27">
        <f t="shared" si="26"/>
        <v>340184686.70240402</v>
      </c>
      <c r="R27">
        <f t="shared" si="2"/>
        <v>5315385.7297250628</v>
      </c>
    </row>
    <row r="28" spans="1:18" x14ac:dyDescent="0.25">
      <c r="A28">
        <v>27</v>
      </c>
      <c r="B28" t="s">
        <v>50</v>
      </c>
      <c r="C28">
        <v>-1</v>
      </c>
      <c r="D28">
        <v>1</v>
      </c>
      <c r="E28">
        <v>-1</v>
      </c>
      <c r="F28">
        <v>1</v>
      </c>
      <c r="G28">
        <v>1</v>
      </c>
      <c r="H28">
        <v>-1</v>
      </c>
      <c r="I28">
        <v>-1</v>
      </c>
      <c r="J28">
        <v>9701101651.3540745</v>
      </c>
      <c r="K28">
        <f t="shared" ref="K28:Q28" si="27">J54+J55</f>
        <v>11229031054.900339</v>
      </c>
      <c r="L28">
        <f t="shared" si="27"/>
        <v>28434777600.745335</v>
      </c>
      <c r="M28">
        <f t="shared" si="27"/>
        <v>14008206494.175869</v>
      </c>
      <c r="N28">
        <f t="shared" si="27"/>
        <v>-12917989107.481764</v>
      </c>
      <c r="O28">
        <f t="shared" si="27"/>
        <v>-792508872.4468174</v>
      </c>
      <c r="P28">
        <f t="shared" si="27"/>
        <v>-83846814.495280266</v>
      </c>
      <c r="Q28">
        <f t="shared" si="27"/>
        <v>362649674.68809128</v>
      </c>
      <c r="R28">
        <f t="shared" si="2"/>
        <v>5666401.1670014262</v>
      </c>
    </row>
    <row r="29" spans="1:18" x14ac:dyDescent="0.25">
      <c r="A29">
        <v>28</v>
      </c>
      <c r="B29" t="s">
        <v>51</v>
      </c>
      <c r="C29">
        <v>1</v>
      </c>
      <c r="D29">
        <v>1</v>
      </c>
      <c r="E29">
        <v>-1</v>
      </c>
      <c r="F29">
        <v>1</v>
      </c>
      <c r="G29">
        <v>1</v>
      </c>
      <c r="H29">
        <v>-1</v>
      </c>
      <c r="I29">
        <v>-1</v>
      </c>
      <c r="J29">
        <v>11452371072.13076</v>
      </c>
      <c r="K29">
        <f t="shared" ref="K29:Q29" si="28">J56+J57</f>
        <v>23189581682.16518</v>
      </c>
      <c r="L29">
        <f t="shared" si="28"/>
        <v>32419455019.317543</v>
      </c>
      <c r="M29">
        <f t="shared" si="28"/>
        <v>13833437322.16959</v>
      </c>
      <c r="N29">
        <f t="shared" si="28"/>
        <v>-13185970515.090416</v>
      </c>
      <c r="O29">
        <f t="shared" si="28"/>
        <v>-810200656.75676155</v>
      </c>
      <c r="P29">
        <f t="shared" si="28"/>
        <v>82936212.076861382</v>
      </c>
      <c r="Q29">
        <f t="shared" si="28"/>
        <v>-230925056.30115891</v>
      </c>
      <c r="R29">
        <f t="shared" si="2"/>
        <v>-3608204.0047056079</v>
      </c>
    </row>
    <row r="30" spans="1:18" x14ac:dyDescent="0.25">
      <c r="A30">
        <v>29</v>
      </c>
      <c r="B30" t="s">
        <v>52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2976812335.7705421</v>
      </c>
      <c r="K30">
        <f t="shared" ref="K30:Q30" si="29">J58+J59</f>
        <v>9233125741.5592518</v>
      </c>
      <c r="L30">
        <f t="shared" si="29"/>
        <v>29036000285.587357</v>
      </c>
      <c r="M30">
        <f t="shared" si="29"/>
        <v>13814930255.227907</v>
      </c>
      <c r="N30">
        <f t="shared" si="29"/>
        <v>-12692979270.239813</v>
      </c>
      <c r="O30">
        <f t="shared" si="29"/>
        <v>-2476394645.3432045</v>
      </c>
      <c r="P30">
        <f t="shared" si="29"/>
        <v>-26893237.495212555</v>
      </c>
      <c r="Q30">
        <f t="shared" si="29"/>
        <v>-306217544.29177475</v>
      </c>
      <c r="R30">
        <f t="shared" si="2"/>
        <v>-4784649.1295589805</v>
      </c>
    </row>
    <row r="31" spans="1:18" x14ac:dyDescent="0.25">
      <c r="A31">
        <v>30</v>
      </c>
      <c r="B31" t="s">
        <v>53</v>
      </c>
      <c r="C31">
        <v>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8265029098.3684311</v>
      </c>
      <c r="K31">
        <f t="shared" ref="K31:Q31" si="30">J60+J61</f>
        <v>21066519223.136742</v>
      </c>
      <c r="L31">
        <f t="shared" si="30"/>
        <v>32833635649.270302</v>
      </c>
      <c r="M31">
        <f t="shared" si="30"/>
        <v>13482439640.493862</v>
      </c>
      <c r="N31">
        <f t="shared" si="30"/>
        <v>-12749091958.527906</v>
      </c>
      <c r="O31">
        <f t="shared" si="30"/>
        <v>-2614424314.1892214</v>
      </c>
      <c r="P31">
        <f t="shared" si="30"/>
        <v>14224288.833320618</v>
      </c>
      <c r="Q31">
        <f t="shared" si="30"/>
        <v>-167890513.65346718</v>
      </c>
      <c r="R31">
        <f t="shared" si="2"/>
        <v>-2623289.2758354247</v>
      </c>
    </row>
    <row r="32" spans="1:18" x14ac:dyDescent="0.25">
      <c r="A32">
        <v>31</v>
      </c>
      <c r="B32" t="s">
        <v>54</v>
      </c>
      <c r="C32">
        <v>-1</v>
      </c>
      <c r="D32">
        <v>1</v>
      </c>
      <c r="E32">
        <v>1</v>
      </c>
      <c r="F32">
        <v>1</v>
      </c>
      <c r="G32">
        <v>1</v>
      </c>
      <c r="H32">
        <v>-1</v>
      </c>
      <c r="I32">
        <v>-1</v>
      </c>
      <c r="J32">
        <v>10625174780.06296</v>
      </c>
      <c r="K32">
        <f t="shared" ref="K32:Q32" si="31">J62+J63</f>
        <v>11236452317.634558</v>
      </c>
      <c r="L32">
        <f t="shared" si="31"/>
        <v>28781497636.488304</v>
      </c>
      <c r="M32">
        <f t="shared" si="31"/>
        <v>13961561637.031345</v>
      </c>
      <c r="N32">
        <f t="shared" si="31"/>
        <v>-12726578171.276516</v>
      </c>
      <c r="O32">
        <f t="shared" si="31"/>
        <v>-2332126516.3137093</v>
      </c>
      <c r="P32">
        <f t="shared" si="31"/>
        <v>-251228100.74733067</v>
      </c>
      <c r="Q32">
        <f t="shared" si="31"/>
        <v>59283668.831928253</v>
      </c>
      <c r="R32">
        <f t="shared" si="2"/>
        <v>926307.32549887896</v>
      </c>
    </row>
    <row r="33" spans="1:18" x14ac:dyDescent="0.25">
      <c r="A33">
        <v>32</v>
      </c>
      <c r="B33" t="s">
        <v>55</v>
      </c>
      <c r="C33">
        <v>1</v>
      </c>
      <c r="D33">
        <v>1</v>
      </c>
      <c r="E33">
        <v>1</v>
      </c>
      <c r="F33">
        <v>1</v>
      </c>
      <c r="G33">
        <v>1</v>
      </c>
      <c r="H33">
        <v>-1</v>
      </c>
      <c r="I33">
        <v>-1</v>
      </c>
      <c r="J33">
        <v>12297437636.18461</v>
      </c>
      <c r="K33">
        <f t="shared" ref="K33:Q33" si="32">J64+J65</f>
        <v>22814158214.688843</v>
      </c>
      <c r="L33">
        <f t="shared" si="32"/>
        <v>32611447074.535156</v>
      </c>
      <c r="M33">
        <f t="shared" si="32"/>
        <v>13744812304.664856</v>
      </c>
      <c r="N33">
        <f t="shared" si="32"/>
        <v>-12830598404.689287</v>
      </c>
      <c r="O33">
        <f t="shared" si="32"/>
        <v>-2337383304.0849428</v>
      </c>
      <c r="P33">
        <f t="shared" si="32"/>
        <v>-156864635.4310751</v>
      </c>
      <c r="Q33">
        <f t="shared" si="32"/>
        <v>142150749.91361427</v>
      </c>
      <c r="R33">
        <f t="shared" si="2"/>
        <v>2221105.467400223</v>
      </c>
    </row>
    <row r="34" spans="1:18" x14ac:dyDescent="0.25">
      <c r="A34">
        <v>33</v>
      </c>
      <c r="B34" t="s">
        <v>56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1</v>
      </c>
      <c r="I34">
        <v>-1</v>
      </c>
      <c r="J34">
        <v>2231568286.876194</v>
      </c>
      <c r="K34">
        <f t="shared" ref="K34:Q34" si="33">J66+J67</f>
        <v>8242506868.5299196</v>
      </c>
      <c r="L34">
        <f t="shared" si="33"/>
        <v>6547017676.5996513</v>
      </c>
      <c r="M34">
        <f t="shared" si="33"/>
        <v>24136094036.689949</v>
      </c>
      <c r="N34">
        <f t="shared" si="33"/>
        <v>7738125982.7406502</v>
      </c>
      <c r="O34">
        <f t="shared" si="33"/>
        <v>-1680239401.7005081</v>
      </c>
      <c r="P34">
        <f t="shared" si="33"/>
        <v>1998168352.2441864</v>
      </c>
      <c r="Q34">
        <f t="shared" si="33"/>
        <v>-1852190801.1545105</v>
      </c>
      <c r="R34">
        <f t="shared" si="2"/>
        <v>-28940481.268039227</v>
      </c>
    </row>
    <row r="35" spans="1:18" x14ac:dyDescent="0.25">
      <c r="A35">
        <v>34</v>
      </c>
      <c r="B35" t="s">
        <v>57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I35">
        <v>-1</v>
      </c>
      <c r="J35">
        <v>6890290055.3129148</v>
      </c>
      <c r="K35">
        <f t="shared" ref="K35:Q35" si="34">J68+J69</f>
        <v>20697213401.017372</v>
      </c>
      <c r="L35">
        <f t="shared" si="34"/>
        <v>7084428526.6255875</v>
      </c>
      <c r="M35">
        <f t="shared" si="34"/>
        <v>23422982551.426624</v>
      </c>
      <c r="N35">
        <f t="shared" si="34"/>
        <v>7486189761.7649002</v>
      </c>
      <c r="O35">
        <f t="shared" si="34"/>
        <v>-1828565808.0890274</v>
      </c>
      <c r="P35">
        <f t="shared" si="34"/>
        <v>1575666602.3508759</v>
      </c>
      <c r="Q35">
        <f t="shared" si="34"/>
        <v>-776218237.16578674</v>
      </c>
      <c r="R35">
        <f t="shared" ref="R35:R66" si="35">Q35/64</f>
        <v>-12128409.955715418</v>
      </c>
    </row>
    <row r="36" spans="1:18" x14ac:dyDescent="0.25">
      <c r="A36">
        <v>35</v>
      </c>
      <c r="B36" t="s">
        <v>58</v>
      </c>
      <c r="C36">
        <v>-1</v>
      </c>
      <c r="D36">
        <v>1</v>
      </c>
      <c r="E36">
        <v>-1</v>
      </c>
      <c r="F36">
        <v>-1</v>
      </c>
      <c r="G36">
        <v>-1</v>
      </c>
      <c r="H36">
        <v>1</v>
      </c>
      <c r="I36">
        <v>-1</v>
      </c>
      <c r="J36">
        <v>9750226603.1801777</v>
      </c>
      <c r="K36">
        <f t="shared" ref="K36:Q36" si="36">J70+J71</f>
        <v>10272407726.575825</v>
      </c>
      <c r="L36">
        <f t="shared" si="36"/>
        <v>6345202319.8491879</v>
      </c>
      <c r="M36">
        <f t="shared" si="36"/>
        <v>24199081995.44236</v>
      </c>
      <c r="N36">
        <f t="shared" si="36"/>
        <v>7757759093.5904579</v>
      </c>
      <c r="O36">
        <f t="shared" si="36"/>
        <v>-809050904.63822174</v>
      </c>
      <c r="P36">
        <f t="shared" si="36"/>
        <v>883789364.11725616</v>
      </c>
      <c r="Q36">
        <f t="shared" si="36"/>
        <v>-1114261004.9062653</v>
      </c>
      <c r="R36">
        <f t="shared" si="35"/>
        <v>-17410328.201660395</v>
      </c>
    </row>
    <row r="37" spans="1:18" x14ac:dyDescent="0.25">
      <c r="A37">
        <v>36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-1</v>
      </c>
      <c r="J37">
        <v>11581141465.6416</v>
      </c>
      <c r="K37">
        <f t="shared" ref="K37:Q37" si="37">J72+J73</f>
        <v>22523868692.375328</v>
      </c>
      <c r="L37">
        <f t="shared" si="37"/>
        <v>6883448031.2249241</v>
      </c>
      <c r="M37">
        <f t="shared" si="37"/>
        <v>23586830639.62598</v>
      </c>
      <c r="N37">
        <f t="shared" si="37"/>
        <v>7461682490.6681442</v>
      </c>
      <c r="O37">
        <f t="shared" si="37"/>
        <v>-1202380076.3360901</v>
      </c>
      <c r="P37">
        <f t="shared" si="37"/>
        <v>804138736.9108429</v>
      </c>
      <c r="Q37">
        <f t="shared" si="37"/>
        <v>-349651795.87107086</v>
      </c>
      <c r="R37">
        <f t="shared" si="35"/>
        <v>-5463309.3104854822</v>
      </c>
    </row>
    <row r="38" spans="1:18" x14ac:dyDescent="0.25">
      <c r="A38">
        <v>37</v>
      </c>
      <c r="B38" t="s">
        <v>60</v>
      </c>
      <c r="C38">
        <v>-1</v>
      </c>
      <c r="D38">
        <v>-1</v>
      </c>
      <c r="E38">
        <v>1</v>
      </c>
      <c r="F38">
        <v>-1</v>
      </c>
      <c r="G38">
        <v>-1</v>
      </c>
      <c r="H38">
        <v>1</v>
      </c>
      <c r="I38">
        <v>-1</v>
      </c>
      <c r="J38">
        <v>2963407393.9713969</v>
      </c>
      <c r="K38">
        <f t="shared" ref="K38:Q38" si="38">J74+J75</f>
        <v>8243237615.1880941</v>
      </c>
      <c r="L38">
        <f t="shared" si="38"/>
        <v>6652517051.4437447</v>
      </c>
      <c r="M38">
        <f t="shared" si="38"/>
        <v>24140961683.177689</v>
      </c>
      <c r="N38">
        <f t="shared" si="38"/>
        <v>7825600126.6517487</v>
      </c>
      <c r="O38">
        <f t="shared" si="38"/>
        <v>-736683206.25018692</v>
      </c>
      <c r="P38">
        <f t="shared" si="38"/>
        <v>446086693.74729919</v>
      </c>
      <c r="Q38">
        <f t="shared" si="38"/>
        <v>36620777.652080536</v>
      </c>
      <c r="R38">
        <f t="shared" si="35"/>
        <v>572199.65081375837</v>
      </c>
    </row>
    <row r="39" spans="1:18" x14ac:dyDescent="0.25">
      <c r="A39">
        <v>38</v>
      </c>
      <c r="B39" t="s">
        <v>61</v>
      </c>
      <c r="C39">
        <v>1</v>
      </c>
      <c r="D39">
        <v>-1</v>
      </c>
      <c r="E39">
        <v>1</v>
      </c>
      <c r="F39">
        <v>-1</v>
      </c>
      <c r="G39">
        <v>-1</v>
      </c>
      <c r="H39">
        <v>1</v>
      </c>
      <c r="I39">
        <v>-1</v>
      </c>
      <c r="J39">
        <v>8205249497.3238602</v>
      </c>
      <c r="K39">
        <f t="shared" ref="K39:Q39" si="39">J76+J77</f>
        <v>20381247829.047371</v>
      </c>
      <c r="L39">
        <f t="shared" si="39"/>
        <v>7144682583.9372692</v>
      </c>
      <c r="M39">
        <f t="shared" si="39"/>
        <v>23223044644.424152</v>
      </c>
      <c r="N39">
        <f t="shared" si="39"/>
        <v>7610293356.7831421</v>
      </c>
      <c r="O39">
        <f t="shared" si="39"/>
        <v>-786863259.47823143</v>
      </c>
      <c r="P39">
        <f t="shared" si="39"/>
        <v>500642921.74508667</v>
      </c>
      <c r="Q39">
        <f t="shared" si="39"/>
        <v>-104034931.70401573</v>
      </c>
      <c r="R39">
        <f t="shared" si="35"/>
        <v>-1625545.8078752458</v>
      </c>
    </row>
    <row r="40" spans="1:18" x14ac:dyDescent="0.25">
      <c r="A40">
        <v>39</v>
      </c>
      <c r="B40" t="s">
        <v>62</v>
      </c>
      <c r="C40">
        <v>-1</v>
      </c>
      <c r="D40">
        <v>1</v>
      </c>
      <c r="E40">
        <v>1</v>
      </c>
      <c r="F40">
        <v>-1</v>
      </c>
      <c r="G40">
        <v>-1</v>
      </c>
      <c r="H40">
        <v>1</v>
      </c>
      <c r="I40">
        <v>-1</v>
      </c>
      <c r="J40">
        <v>10668756004.336229</v>
      </c>
      <c r="K40">
        <f t="shared" ref="K40:Q40" si="40">J78+J79</f>
        <v>10331884608.901524</v>
      </c>
      <c r="L40">
        <f t="shared" si="40"/>
        <v>6502832662.5624142</v>
      </c>
      <c r="M40">
        <f t="shared" si="40"/>
        <v>24172157595.765594</v>
      </c>
      <c r="N40">
        <f t="shared" si="40"/>
        <v>7849803619.6041222</v>
      </c>
      <c r="O40">
        <f t="shared" si="40"/>
        <v>-461059552.47929001</v>
      </c>
      <c r="P40">
        <f t="shared" si="40"/>
        <v>-457680796.65250969</v>
      </c>
      <c r="Q40">
        <f t="shared" si="40"/>
        <v>-139407102.79795074</v>
      </c>
      <c r="R40">
        <f t="shared" si="35"/>
        <v>-2178235.9812179804</v>
      </c>
    </row>
    <row r="41" spans="1:18" x14ac:dyDescent="0.25">
      <c r="A41">
        <v>40</v>
      </c>
      <c r="B41" t="s">
        <v>63</v>
      </c>
      <c r="C41">
        <v>1</v>
      </c>
      <c r="D41">
        <v>1</v>
      </c>
      <c r="E41">
        <v>1</v>
      </c>
      <c r="F41">
        <v>-1</v>
      </c>
      <c r="G41">
        <v>-1</v>
      </c>
      <c r="H41">
        <v>1</v>
      </c>
      <c r="I41">
        <v>-1</v>
      </c>
      <c r="J41">
        <v>12431352843.504049</v>
      </c>
      <c r="K41">
        <f t="shared" ref="K41:Q41" si="41">J80+J81</f>
        <v>22261644812.581829</v>
      </c>
      <c r="L41">
        <f t="shared" si="41"/>
        <v>6960479618.7195396</v>
      </c>
      <c r="M41">
        <f t="shared" si="41"/>
        <v>23411099378.631775</v>
      </c>
      <c r="N41">
        <f t="shared" si="41"/>
        <v>7627584801.7297974</v>
      </c>
      <c r="O41">
        <f t="shared" si="41"/>
        <v>-549239947.10053444</v>
      </c>
      <c r="P41">
        <f t="shared" si="41"/>
        <v>-160132921.70086479</v>
      </c>
      <c r="Q41">
        <f t="shared" si="41"/>
        <v>-143286456.61725044</v>
      </c>
      <c r="R41">
        <f t="shared" si="35"/>
        <v>-2238850.8846445382</v>
      </c>
    </row>
    <row r="42" spans="1:18" x14ac:dyDescent="0.25">
      <c r="A42">
        <v>41</v>
      </c>
      <c r="B42" t="s">
        <v>64</v>
      </c>
      <c r="C42">
        <v>-1</v>
      </c>
      <c r="D42">
        <v>-1</v>
      </c>
      <c r="E42">
        <v>-1</v>
      </c>
      <c r="F42">
        <v>1</v>
      </c>
      <c r="G42">
        <v>-1</v>
      </c>
      <c r="H42">
        <v>1</v>
      </c>
      <c r="I42">
        <v>-1</v>
      </c>
      <c r="J42">
        <v>2221008009.4583359</v>
      </c>
      <c r="K42">
        <f t="shared" ref="K42:Q42" si="42">J82+J83</f>
        <v>8301732673.4879904</v>
      </c>
      <c r="L42">
        <f t="shared" si="42"/>
        <v>6489636630.8981428</v>
      </c>
      <c r="M42">
        <f t="shared" si="42"/>
        <v>24706167498.286957</v>
      </c>
      <c r="N42">
        <f t="shared" si="42"/>
        <v>1075656561.4016724</v>
      </c>
      <c r="O42">
        <f t="shared" si="42"/>
        <v>-1325362841.0797043</v>
      </c>
      <c r="P42">
        <f t="shared" si="42"/>
        <v>-548012823.89806366</v>
      </c>
      <c r="Q42">
        <f t="shared" si="42"/>
        <v>-541655578.08638763</v>
      </c>
      <c r="R42">
        <f t="shared" si="35"/>
        <v>-8463368.4075998068</v>
      </c>
    </row>
    <row r="43" spans="1:18" x14ac:dyDescent="0.25">
      <c r="A43">
        <v>42</v>
      </c>
      <c r="B43" t="s">
        <v>65</v>
      </c>
      <c r="C43">
        <v>1</v>
      </c>
      <c r="D43">
        <v>-1</v>
      </c>
      <c r="E43">
        <v>-1</v>
      </c>
      <c r="F43">
        <v>1</v>
      </c>
      <c r="G43">
        <v>-1</v>
      </c>
      <c r="H43">
        <v>1</v>
      </c>
      <c r="I43">
        <v>-1</v>
      </c>
      <c r="J43">
        <v>6836053411.448863</v>
      </c>
      <c r="K43">
        <f t="shared" ref="K43:Q43" si="43">J84+J85</f>
        <v>20805073272.150505</v>
      </c>
      <c r="L43">
        <f t="shared" si="43"/>
        <v>7004438942.5202827</v>
      </c>
      <c r="M43">
        <f t="shared" si="43"/>
        <v>24067770417.539581</v>
      </c>
      <c r="N43">
        <f t="shared" si="43"/>
        <v>949812488.65065002</v>
      </c>
      <c r="O43">
        <f t="shared" si="43"/>
        <v>-1678975255.8873558</v>
      </c>
      <c r="P43">
        <f t="shared" si="43"/>
        <v>-437525587.74293137</v>
      </c>
      <c r="Q43">
        <f t="shared" si="43"/>
        <v>-138360447.84928894</v>
      </c>
      <c r="R43">
        <f t="shared" si="35"/>
        <v>-2161881.9976451397</v>
      </c>
    </row>
    <row r="44" spans="1:18" x14ac:dyDescent="0.25">
      <c r="A44">
        <v>43</v>
      </c>
      <c r="B44" t="s">
        <v>66</v>
      </c>
      <c r="C44">
        <v>-1</v>
      </c>
      <c r="D44">
        <v>1</v>
      </c>
      <c r="E44">
        <v>-1</v>
      </c>
      <c r="F44">
        <v>1</v>
      </c>
      <c r="G44">
        <v>-1</v>
      </c>
      <c r="H44">
        <v>1</v>
      </c>
      <c r="I44">
        <v>-1</v>
      </c>
      <c r="J44">
        <v>9568056370.8459682</v>
      </c>
      <c r="K44">
        <f t="shared" ref="K44:Q44" si="44">J86+J87</f>
        <v>10293090828.090973</v>
      </c>
      <c r="L44">
        <f t="shared" si="44"/>
        <v>6285601054.7226381</v>
      </c>
      <c r="M44">
        <f t="shared" si="44"/>
        <v>24806513339.428703</v>
      </c>
      <c r="N44">
        <f t="shared" si="44"/>
        <v>1022237296.9481487</v>
      </c>
      <c r="O44">
        <f t="shared" si="44"/>
        <v>-1222909323.1208344</v>
      </c>
      <c r="P44">
        <f t="shared" si="44"/>
        <v>-266905549.23826504</v>
      </c>
      <c r="Q44">
        <f t="shared" si="44"/>
        <v>-690382990.28274918</v>
      </c>
      <c r="R44">
        <f t="shared" si="35"/>
        <v>-10787234.223167956</v>
      </c>
    </row>
    <row r="45" spans="1:18" x14ac:dyDescent="0.25">
      <c r="A45">
        <v>44</v>
      </c>
      <c r="B45" t="s">
        <v>67</v>
      </c>
      <c r="C45">
        <v>1</v>
      </c>
      <c r="D45">
        <v>1</v>
      </c>
      <c r="E45">
        <v>-1</v>
      </c>
      <c r="F45">
        <v>1</v>
      </c>
      <c r="G45">
        <v>-1</v>
      </c>
      <c r="H45">
        <v>1</v>
      </c>
      <c r="I45">
        <v>-1</v>
      </c>
      <c r="J45">
        <v>11238612023.578079</v>
      </c>
      <c r="K45">
        <f t="shared" ref="K45:Q45" si="45">J88+J89</f>
        <v>22596263568.857162</v>
      </c>
      <c r="L45">
        <f t="shared" si="45"/>
        <v>6793036040.0486469</v>
      </c>
      <c r="M45">
        <f t="shared" si="45"/>
        <v>24222001097.055244</v>
      </c>
      <c r="N45">
        <f t="shared" si="45"/>
        <v>881175820.46090603</v>
      </c>
      <c r="O45">
        <f t="shared" si="45"/>
        <v>-1559679898.595932</v>
      </c>
      <c r="P45">
        <f t="shared" si="45"/>
        <v>-237694638.27355289</v>
      </c>
      <c r="Q45">
        <f t="shared" si="45"/>
        <v>-341890826.99501228</v>
      </c>
      <c r="R45">
        <f t="shared" si="35"/>
        <v>-5342044.1717970669</v>
      </c>
    </row>
    <row r="46" spans="1:18" x14ac:dyDescent="0.25">
      <c r="A46">
        <v>45</v>
      </c>
      <c r="B46" t="s">
        <v>68</v>
      </c>
      <c r="C46">
        <v>-1</v>
      </c>
      <c r="D46">
        <v>-1</v>
      </c>
      <c r="E46">
        <v>1</v>
      </c>
      <c r="F46">
        <v>1</v>
      </c>
      <c r="G46">
        <v>-1</v>
      </c>
      <c r="H46">
        <v>1</v>
      </c>
      <c r="I46">
        <v>-1</v>
      </c>
      <c r="J46">
        <v>2968257170.4444251</v>
      </c>
      <c r="K46">
        <f t="shared" ref="K46:Q46" si="46">J90+J91</f>
        <v>8368624955.1289282</v>
      </c>
      <c r="L46">
        <f t="shared" si="46"/>
        <v>6625884964.2752466</v>
      </c>
      <c r="M46">
        <f t="shared" si="46"/>
        <v>24612644162.836426</v>
      </c>
      <c r="N46">
        <f t="shared" si="46"/>
        <v>1225503787.7161999</v>
      </c>
      <c r="O46">
        <f t="shared" si="46"/>
        <v>-338535312.25876617</v>
      </c>
      <c r="P46">
        <f t="shared" si="46"/>
        <v>79033754.127471924</v>
      </c>
      <c r="Q46">
        <f t="shared" si="46"/>
        <v>13960136.936161041</v>
      </c>
      <c r="R46">
        <f t="shared" si="35"/>
        <v>218127.13962751627</v>
      </c>
    </row>
    <row r="47" spans="1:18" x14ac:dyDescent="0.25">
      <c r="A47">
        <v>46</v>
      </c>
      <c r="B47" t="s">
        <v>69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8197998784.500452</v>
      </c>
      <c r="K47">
        <f t="shared" ref="K47:Q47" si="47">J92+J93</f>
        <v>20570048222.498337</v>
      </c>
      <c r="L47">
        <f t="shared" si="47"/>
        <v>7087870761.1119747</v>
      </c>
      <c r="M47">
        <f t="shared" si="47"/>
        <v>23807281270.914703</v>
      </c>
      <c r="N47">
        <f t="shared" si="47"/>
        <v>1092980668.2238445</v>
      </c>
      <c r="O47">
        <f t="shared" si="47"/>
        <v>-646689972.52820873</v>
      </c>
      <c r="P47">
        <f t="shared" si="47"/>
        <v>70680840.116012573</v>
      </c>
      <c r="Q47">
        <f t="shared" si="47"/>
        <v>-19070466.663261414</v>
      </c>
      <c r="R47">
        <f t="shared" si="35"/>
        <v>-297976.04161345959</v>
      </c>
    </row>
    <row r="48" spans="1:18" x14ac:dyDescent="0.25">
      <c r="A48">
        <v>47</v>
      </c>
      <c r="B48" t="s">
        <v>70</v>
      </c>
      <c r="C48">
        <v>-1</v>
      </c>
      <c r="D48">
        <v>1</v>
      </c>
      <c r="E48">
        <v>1</v>
      </c>
      <c r="F48">
        <v>1</v>
      </c>
      <c r="G48">
        <v>-1</v>
      </c>
      <c r="H48">
        <v>1</v>
      </c>
      <c r="I48">
        <v>-1</v>
      </c>
      <c r="J48">
        <v>10538199599.929779</v>
      </c>
      <c r="K48">
        <f t="shared" ref="K48:Q48" si="48">J94+J95</f>
        <v>10372920126.707468</v>
      </c>
      <c r="L48">
        <f t="shared" si="48"/>
        <v>6461570460.4659767</v>
      </c>
      <c r="M48">
        <f t="shared" si="48"/>
        <v>24710154420.756508</v>
      </c>
      <c r="N48">
        <f t="shared" si="48"/>
        <v>1220838487.8302469</v>
      </c>
      <c r="O48">
        <f t="shared" si="48"/>
        <v>-198354012.14870071</v>
      </c>
      <c r="P48">
        <f t="shared" si="48"/>
        <v>237631391.90296459</v>
      </c>
      <c r="Q48">
        <f t="shared" si="48"/>
        <v>6996021.2666893005</v>
      </c>
      <c r="R48">
        <f t="shared" si="35"/>
        <v>109312.83229202032</v>
      </c>
    </row>
    <row r="49" spans="1:18" x14ac:dyDescent="0.25">
      <c r="A49">
        <v>48</v>
      </c>
      <c r="B49" t="s">
        <v>71</v>
      </c>
      <c r="C49">
        <v>1</v>
      </c>
      <c r="D49">
        <v>1</v>
      </c>
      <c r="E49">
        <v>1</v>
      </c>
      <c r="F49">
        <v>1</v>
      </c>
      <c r="G49">
        <v>-1</v>
      </c>
      <c r="H49">
        <v>1</v>
      </c>
      <c r="I49">
        <v>-1</v>
      </c>
      <c r="J49">
        <v>12101494025.9224</v>
      </c>
      <c r="K49">
        <f t="shared" ref="K49:Q49" si="49">J96+J97</f>
        <v>22393497956.393303</v>
      </c>
      <c r="L49">
        <f t="shared" si="49"/>
        <v>6880760484.0901546</v>
      </c>
      <c r="M49">
        <f t="shared" si="49"/>
        <v>23955837414.082298</v>
      </c>
      <c r="N49">
        <f t="shared" si="49"/>
        <v>1115666969.0490494</v>
      </c>
      <c r="O49">
        <f t="shared" si="49"/>
        <v>-232090178.87427044</v>
      </c>
      <c r="P49">
        <f t="shared" si="49"/>
        <v>204013329.5444231</v>
      </c>
      <c r="Q49">
        <f t="shared" si="49"/>
        <v>11579998.579292297</v>
      </c>
      <c r="R49">
        <f t="shared" si="35"/>
        <v>180937.47780144215</v>
      </c>
    </row>
    <row r="50" spans="1:18" x14ac:dyDescent="0.25">
      <c r="A50">
        <v>49</v>
      </c>
      <c r="B50" t="s">
        <v>72</v>
      </c>
      <c r="C50">
        <v>-1</v>
      </c>
      <c r="D50">
        <v>-1</v>
      </c>
      <c r="E50">
        <v>-1</v>
      </c>
      <c r="F50">
        <v>-1</v>
      </c>
      <c r="G50">
        <v>1</v>
      </c>
      <c r="H50">
        <v>1</v>
      </c>
      <c r="I50">
        <v>-1</v>
      </c>
      <c r="J50">
        <v>2239601261.04426</v>
      </c>
      <c r="K50">
        <f t="shared" ref="K50:Q50" si="50">J98+J99</f>
        <v>8223067161.88451</v>
      </c>
      <c r="L50">
        <f t="shared" si="50"/>
        <v>6638213388.8652563</v>
      </c>
      <c r="M50">
        <f t="shared" si="50"/>
        <v>-6352130376.8339691</v>
      </c>
      <c r="N50">
        <f t="shared" si="50"/>
        <v>-485403143.5788517</v>
      </c>
      <c r="O50">
        <f t="shared" si="50"/>
        <v>147149954.88798904</v>
      </c>
      <c r="P50">
        <f t="shared" si="50"/>
        <v>542483834.07794189</v>
      </c>
      <c r="Q50">
        <f t="shared" si="50"/>
        <v>253203155.58181763</v>
      </c>
      <c r="R50">
        <f t="shared" si="35"/>
        <v>3956299.3059659004</v>
      </c>
    </row>
    <row r="51" spans="1:18" x14ac:dyDescent="0.25">
      <c r="A51">
        <v>50</v>
      </c>
      <c r="B51" t="s">
        <v>73</v>
      </c>
      <c r="C51">
        <v>1</v>
      </c>
      <c r="D51">
        <v>-1</v>
      </c>
      <c r="E51">
        <v>-1</v>
      </c>
      <c r="F51">
        <v>-1</v>
      </c>
      <c r="G51">
        <v>1</v>
      </c>
      <c r="H51">
        <v>1</v>
      </c>
      <c r="I51">
        <v>-1</v>
      </c>
      <c r="J51">
        <v>7008543161.7177572</v>
      </c>
      <c r="K51">
        <f t="shared" ref="K51:Q51" si="51">J100+J101</f>
        <v>20634330473.88192</v>
      </c>
      <c r="L51">
        <f t="shared" si="51"/>
        <v>7228186364.0757732</v>
      </c>
      <c r="M51">
        <f t="shared" si="51"/>
        <v>-6487726515.5937004</v>
      </c>
      <c r="N51">
        <f t="shared" si="51"/>
        <v>-453852536.38945389</v>
      </c>
      <c r="O51">
        <f t="shared" si="51"/>
        <v>166929081.92783737</v>
      </c>
      <c r="P51">
        <f t="shared" si="51"/>
        <v>475910369.58872223</v>
      </c>
      <c r="Q51">
        <f t="shared" si="51"/>
        <v>96827994.428039551</v>
      </c>
      <c r="R51">
        <f t="shared" si="35"/>
        <v>1512937.412938118</v>
      </c>
    </row>
    <row r="52" spans="1:18" x14ac:dyDescent="0.25">
      <c r="A52">
        <v>51</v>
      </c>
      <c r="B52" t="s">
        <v>74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9801404163.8305111</v>
      </c>
      <c r="K52">
        <f t="shared" ref="K52:Q52" si="52">J102+J103</f>
        <v>10260571492.979664</v>
      </c>
      <c r="L52">
        <f t="shared" si="52"/>
        <v>6472289279.9811678</v>
      </c>
      <c r="M52">
        <f t="shared" si="52"/>
        <v>-6413308553.9862461</v>
      </c>
      <c r="N52">
        <f t="shared" si="52"/>
        <v>-554227072.69719315</v>
      </c>
      <c r="O52">
        <f t="shared" si="52"/>
        <v>157684282.00788879</v>
      </c>
      <c r="P52">
        <f t="shared" si="52"/>
        <v>112922195.86811638</v>
      </c>
      <c r="Q52">
        <f t="shared" si="52"/>
        <v>-16095519.725967407</v>
      </c>
      <c r="R52">
        <f t="shared" si="35"/>
        <v>-251492.49571824074</v>
      </c>
    </row>
    <row r="53" spans="1:18" x14ac:dyDescent="0.25">
      <c r="A53">
        <v>52</v>
      </c>
      <c r="B53" t="s">
        <v>75</v>
      </c>
      <c r="C53">
        <v>1</v>
      </c>
      <c r="D53">
        <v>1</v>
      </c>
      <c r="E53">
        <v>-1</v>
      </c>
      <c r="F53">
        <v>-1</v>
      </c>
      <c r="G53">
        <v>1</v>
      </c>
      <c r="H53">
        <v>1</v>
      </c>
      <c r="I53">
        <v>-1</v>
      </c>
      <c r="J53">
        <v>11658347227.432261</v>
      </c>
      <c r="K53">
        <f t="shared" ref="K53:Q53" si="53">J104+J105</f>
        <v>22461952343.81868</v>
      </c>
      <c r="L53">
        <f t="shared" si="53"/>
        <v>7107820092.4868507</v>
      </c>
      <c r="M53">
        <f t="shared" si="53"/>
        <v>-6616247727.485281</v>
      </c>
      <c r="N53">
        <f t="shared" si="53"/>
        <v>-506743925.75911903</v>
      </c>
      <c r="O53">
        <f t="shared" si="53"/>
        <v>151865291.90420151</v>
      </c>
      <c r="P53">
        <f t="shared" si="53"/>
        <v>227262490.83428764</v>
      </c>
      <c r="Q53">
        <f t="shared" si="53"/>
        <v>-126189563.6894722</v>
      </c>
      <c r="R53">
        <f t="shared" si="35"/>
        <v>-1971711.9326480031</v>
      </c>
    </row>
    <row r="54" spans="1:18" x14ac:dyDescent="0.25">
      <c r="A54">
        <v>53</v>
      </c>
      <c r="B54" t="s">
        <v>76</v>
      </c>
      <c r="C54">
        <v>-1</v>
      </c>
      <c r="D54">
        <v>-1</v>
      </c>
      <c r="E54">
        <v>1</v>
      </c>
      <c r="F54">
        <v>-1</v>
      </c>
      <c r="G54">
        <v>1</v>
      </c>
      <c r="H54">
        <v>1</v>
      </c>
      <c r="I54">
        <v>-1</v>
      </c>
      <c r="J54">
        <v>2965151882.7246022</v>
      </c>
      <c r="K54">
        <f t="shared" ref="K54:Q54" si="54">J106+J107</f>
        <v>8211739195.9853697</v>
      </c>
      <c r="L54">
        <f t="shared" si="54"/>
        <v>6730159532.4854364</v>
      </c>
      <c r="M54">
        <f t="shared" si="54"/>
        <v>-6307052170.1599417</v>
      </c>
      <c r="N54">
        <f t="shared" si="54"/>
        <v>-411495576.86692047</v>
      </c>
      <c r="O54">
        <f t="shared" si="54"/>
        <v>-33683714.986598969</v>
      </c>
      <c r="P54">
        <f t="shared" si="54"/>
        <v>257718951.06666183</v>
      </c>
      <c r="Q54">
        <f t="shared" si="54"/>
        <v>-51052429.952281952</v>
      </c>
      <c r="R54">
        <f t="shared" si="35"/>
        <v>-797694.2180044055</v>
      </c>
    </row>
    <row r="55" spans="1:18" x14ac:dyDescent="0.25">
      <c r="A55">
        <v>54</v>
      </c>
      <c r="B55" t="s">
        <v>77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8263879172.1757374</v>
      </c>
      <c r="K55">
        <f t="shared" ref="K55:Q55" si="55">J108+J109</f>
        <v>20223038404.759964</v>
      </c>
      <c r="L55">
        <f t="shared" si="55"/>
        <v>7278046961.6904316</v>
      </c>
      <c r="M55">
        <f t="shared" si="55"/>
        <v>-6610936937.3218222</v>
      </c>
      <c r="N55">
        <f t="shared" si="55"/>
        <v>-381013295.57989693</v>
      </c>
      <c r="O55">
        <f t="shared" si="55"/>
        <v>-50163099.508681297</v>
      </c>
      <c r="P55">
        <f t="shared" si="55"/>
        <v>104930723.62142944</v>
      </c>
      <c r="Q55">
        <f t="shared" si="55"/>
        <v>12134196.974937439</v>
      </c>
      <c r="R55">
        <f t="shared" si="35"/>
        <v>189596.82773339748</v>
      </c>
    </row>
    <row r="56" spans="1:18" x14ac:dyDescent="0.25">
      <c r="A56">
        <v>55</v>
      </c>
      <c r="B56" t="s">
        <v>78</v>
      </c>
      <c r="C56">
        <v>-1</v>
      </c>
      <c r="D56">
        <v>1</v>
      </c>
      <c r="E56">
        <v>1</v>
      </c>
      <c r="F56">
        <v>-1</v>
      </c>
      <c r="G56">
        <v>1</v>
      </c>
      <c r="H56">
        <v>1</v>
      </c>
      <c r="I56">
        <v>-1</v>
      </c>
      <c r="J56">
        <v>10700219105.252171</v>
      </c>
      <c r="K56">
        <f t="shared" ref="K56:Q56" si="56">J110+J111</f>
        <v>10311736478.588717</v>
      </c>
      <c r="L56">
        <f t="shared" si="56"/>
        <v>6644172041.5753698</v>
      </c>
      <c r="M56">
        <f t="shared" si="56"/>
        <v>-6421582654.8620443</v>
      </c>
      <c r="N56">
        <f t="shared" si="56"/>
        <v>-425199607.79287529</v>
      </c>
      <c r="O56">
        <f t="shared" si="56"/>
        <v>42763647.109020233</v>
      </c>
      <c r="P56">
        <f t="shared" si="56"/>
        <v>-106263472.94375134</v>
      </c>
      <c r="Q56">
        <f t="shared" si="56"/>
        <v>25648817.290641785</v>
      </c>
      <c r="R56">
        <f t="shared" si="35"/>
        <v>400762.77016627789</v>
      </c>
    </row>
    <row r="57" spans="1:18" x14ac:dyDescent="0.25">
      <c r="A57">
        <v>56</v>
      </c>
      <c r="B57" t="s">
        <v>79</v>
      </c>
      <c r="C57">
        <v>1</v>
      </c>
      <c r="D57">
        <v>1</v>
      </c>
      <c r="E57">
        <v>1</v>
      </c>
      <c r="F57">
        <v>-1</v>
      </c>
      <c r="G57">
        <v>1</v>
      </c>
      <c r="H57">
        <v>1</v>
      </c>
      <c r="I57">
        <v>-1</v>
      </c>
      <c r="J57">
        <v>12489362576.91301</v>
      </c>
      <c r="K57">
        <f t="shared" ref="K57:Q57" si="57">J112+J113</f>
        <v>22107718540.728828</v>
      </c>
      <c r="L57">
        <f t="shared" si="57"/>
        <v>7189265280.5942192</v>
      </c>
      <c r="M57">
        <f t="shared" si="57"/>
        <v>-6764387860.2283726</v>
      </c>
      <c r="N57">
        <f t="shared" si="57"/>
        <v>-385001048.96388626</v>
      </c>
      <c r="O57">
        <f t="shared" si="57"/>
        <v>40172564.967841148</v>
      </c>
      <c r="P57">
        <f t="shared" si="57"/>
        <v>-124661583.35740757</v>
      </c>
      <c r="Q57">
        <f t="shared" si="57"/>
        <v>47455090.983940125</v>
      </c>
      <c r="R57">
        <f t="shared" si="35"/>
        <v>741485.79662406445</v>
      </c>
    </row>
    <row r="58" spans="1:18" x14ac:dyDescent="0.25">
      <c r="A58">
        <v>57</v>
      </c>
      <c r="B58" t="s">
        <v>80</v>
      </c>
      <c r="C58">
        <v>-1</v>
      </c>
      <c r="D58">
        <v>-1</v>
      </c>
      <c r="E58">
        <v>-1</v>
      </c>
      <c r="F58">
        <v>1</v>
      </c>
      <c r="G58">
        <v>1</v>
      </c>
      <c r="H58">
        <v>1</v>
      </c>
      <c r="I58">
        <v>-1</v>
      </c>
      <c r="J58">
        <v>2236052215.191627</v>
      </c>
      <c r="K58">
        <f t="shared" ref="K58:Q58" si="58">J114+J115</f>
        <v>8291668781.7856045</v>
      </c>
      <c r="L58">
        <f t="shared" si="58"/>
        <v>6613371651.4735641</v>
      </c>
      <c r="M58">
        <f t="shared" si="58"/>
        <v>-6311207077.1028719</v>
      </c>
      <c r="N58">
        <f t="shared" si="58"/>
        <v>-1290829378.7033615</v>
      </c>
      <c r="O58">
        <f t="shared" si="58"/>
        <v>-24150461.686021805</v>
      </c>
      <c r="P58">
        <f t="shared" si="58"/>
        <v>-151689027.43522644</v>
      </c>
      <c r="Q58">
        <f t="shared" si="58"/>
        <v>31720453.563117981</v>
      </c>
      <c r="R58">
        <f t="shared" si="35"/>
        <v>495632.08692371845</v>
      </c>
    </row>
    <row r="59" spans="1:18" x14ac:dyDescent="0.25">
      <c r="A59">
        <v>58</v>
      </c>
      <c r="B59" t="s">
        <v>81</v>
      </c>
      <c r="C59">
        <v>1</v>
      </c>
      <c r="D59">
        <v>-1</v>
      </c>
      <c r="E59">
        <v>-1</v>
      </c>
      <c r="F59">
        <v>1</v>
      </c>
      <c r="G59">
        <v>1</v>
      </c>
      <c r="H59">
        <v>1</v>
      </c>
      <c r="I59">
        <v>-1</v>
      </c>
      <c r="J59">
        <v>6997073526.3676243</v>
      </c>
      <c r="K59">
        <f t="shared" ref="K59:Q59" si="59">J116+J117</f>
        <v>20744331503.80175</v>
      </c>
      <c r="L59">
        <f t="shared" si="59"/>
        <v>7201558603.754343</v>
      </c>
      <c r="M59">
        <f t="shared" si="59"/>
        <v>-6381772193.136941</v>
      </c>
      <c r="N59">
        <f t="shared" si="59"/>
        <v>-1185565266.639843</v>
      </c>
      <c r="O59">
        <f t="shared" si="59"/>
        <v>-2742775.8091907501</v>
      </c>
      <c r="P59">
        <f t="shared" si="59"/>
        <v>-154528516.85654831</v>
      </c>
      <c r="Q59">
        <f t="shared" si="59"/>
        <v>-20674726.335193634</v>
      </c>
      <c r="R59">
        <f t="shared" si="35"/>
        <v>-323042.59898740053</v>
      </c>
    </row>
    <row r="60" spans="1:18" x14ac:dyDescent="0.25">
      <c r="A60">
        <v>59</v>
      </c>
      <c r="B60" t="s">
        <v>82</v>
      </c>
      <c r="C60">
        <v>-1</v>
      </c>
      <c r="D60">
        <v>1</v>
      </c>
      <c r="E60">
        <v>-1</v>
      </c>
      <c r="F60">
        <v>1</v>
      </c>
      <c r="G60">
        <v>1</v>
      </c>
      <c r="H60">
        <v>1</v>
      </c>
      <c r="I60">
        <v>-1</v>
      </c>
      <c r="J60">
        <v>9682985036.9233799</v>
      </c>
      <c r="K60">
        <f t="shared" ref="K60:Q60" si="60">J118+J119</f>
        <v>10288071975.264969</v>
      </c>
      <c r="L60">
        <f t="shared" si="60"/>
        <v>6424894052.4721975</v>
      </c>
      <c r="M60">
        <f t="shared" si="60"/>
        <v>-6310651531.2066374</v>
      </c>
      <c r="N60">
        <f t="shared" si="60"/>
        <v>-1373395797.0143337</v>
      </c>
      <c r="O60">
        <f t="shared" si="60"/>
        <v>14317976.721731186</v>
      </c>
      <c r="P60">
        <f t="shared" si="60"/>
        <v>-70781884.602618217</v>
      </c>
      <c r="Q60">
        <f t="shared" si="60"/>
        <v>53159739.046367645</v>
      </c>
      <c r="R60">
        <f t="shared" si="35"/>
        <v>830620.92259949446</v>
      </c>
    </row>
    <row r="61" spans="1:18" x14ac:dyDescent="0.25">
      <c r="A61">
        <v>60</v>
      </c>
      <c r="B61" t="s">
        <v>83</v>
      </c>
      <c r="C61">
        <v>1</v>
      </c>
      <c r="D61">
        <v>1</v>
      </c>
      <c r="E61">
        <v>-1</v>
      </c>
      <c r="F61">
        <v>1</v>
      </c>
      <c r="G61">
        <v>1</v>
      </c>
      <c r="H61">
        <v>1</v>
      </c>
      <c r="I61">
        <v>-1</v>
      </c>
      <c r="J61">
        <v>11383534186.21336</v>
      </c>
      <c r="K61">
        <f t="shared" ref="K61:Q61" si="61">J120+J121</f>
        <v>22545563674.005333</v>
      </c>
      <c r="L61">
        <f t="shared" si="61"/>
        <v>7057545588.0216656</v>
      </c>
      <c r="M61">
        <f t="shared" si="61"/>
        <v>-6438440427.321269</v>
      </c>
      <c r="N61">
        <f t="shared" si="61"/>
        <v>-1241028517.1748877</v>
      </c>
      <c r="O61">
        <f t="shared" si="61"/>
        <v>-93687.888410568237</v>
      </c>
      <c r="P61">
        <f t="shared" si="61"/>
        <v>-97108629.050848961</v>
      </c>
      <c r="Q61">
        <f t="shared" si="61"/>
        <v>18208573.338573456</v>
      </c>
      <c r="R61">
        <f t="shared" si="35"/>
        <v>284508.95841521025</v>
      </c>
    </row>
    <row r="62" spans="1:18" x14ac:dyDescent="0.25">
      <c r="A62">
        <v>61</v>
      </c>
      <c r="B62" t="s">
        <v>84</v>
      </c>
      <c r="C62">
        <v>-1</v>
      </c>
      <c r="D62">
        <v>-1</v>
      </c>
      <c r="E62">
        <v>1</v>
      </c>
      <c r="F62">
        <v>1</v>
      </c>
      <c r="G62">
        <v>1</v>
      </c>
      <c r="H62">
        <v>1</v>
      </c>
      <c r="I62">
        <v>-1</v>
      </c>
      <c r="J62">
        <v>2972057113.2091508</v>
      </c>
      <c r="K62">
        <f t="shared" ref="K62:Q62" si="62">J122+J123</f>
        <v>8354331958.3015509</v>
      </c>
      <c r="L62">
        <f t="shared" si="62"/>
        <v>6700791071.6781979</v>
      </c>
      <c r="M62">
        <f t="shared" si="62"/>
        <v>-6322125991.7389011</v>
      </c>
      <c r="N62">
        <f t="shared" si="62"/>
        <v>-1211978609.7409573</v>
      </c>
      <c r="O62">
        <f t="shared" si="62"/>
        <v>-134850464.41389465</v>
      </c>
      <c r="P62">
        <f t="shared" si="62"/>
        <v>24181122.06439209</v>
      </c>
      <c r="Q62">
        <f t="shared" si="62"/>
        <v>-41120327.569965363</v>
      </c>
      <c r="R62">
        <f t="shared" si="35"/>
        <v>-642505.11828070879</v>
      </c>
    </row>
    <row r="63" spans="1:18" x14ac:dyDescent="0.25">
      <c r="A63">
        <v>62</v>
      </c>
      <c r="B63" t="s">
        <v>85</v>
      </c>
      <c r="C63">
        <v>1</v>
      </c>
      <c r="D63">
        <v>-1</v>
      </c>
      <c r="E63">
        <v>1</v>
      </c>
      <c r="F63">
        <v>1</v>
      </c>
      <c r="G63">
        <v>1</v>
      </c>
      <c r="H63">
        <v>1</v>
      </c>
      <c r="I63">
        <v>-1</v>
      </c>
      <c r="J63">
        <v>8264395204.4254065</v>
      </c>
      <c r="K63">
        <f t="shared" ref="K63:Q63" si="63">J124+J125</f>
        <v>20427165678.186752</v>
      </c>
      <c r="L63">
        <f t="shared" si="63"/>
        <v>7260770565.3531466</v>
      </c>
      <c r="M63">
        <f t="shared" si="63"/>
        <v>-6404452179.5376139</v>
      </c>
      <c r="N63">
        <f t="shared" si="63"/>
        <v>-1120147906.572752</v>
      </c>
      <c r="O63">
        <f t="shared" si="63"/>
        <v>-116377636.33343601</v>
      </c>
      <c r="P63">
        <f t="shared" si="63"/>
        <v>35102546.767536163</v>
      </c>
      <c r="Q63">
        <f t="shared" si="63"/>
        <v>-479583.31844520569</v>
      </c>
      <c r="R63">
        <f t="shared" si="35"/>
        <v>-7493.4893507063389</v>
      </c>
    </row>
    <row r="64" spans="1:18" x14ac:dyDescent="0.25">
      <c r="A64">
        <v>63</v>
      </c>
      <c r="B64" t="s">
        <v>86</v>
      </c>
      <c r="C64">
        <v>-1</v>
      </c>
      <c r="D64">
        <v>1</v>
      </c>
      <c r="E64">
        <v>1</v>
      </c>
      <c r="F64">
        <v>1</v>
      </c>
      <c r="G64">
        <v>1</v>
      </c>
      <c r="H64">
        <v>1</v>
      </c>
      <c r="I64">
        <v>-1</v>
      </c>
      <c r="J64">
        <v>10612867910.907471</v>
      </c>
      <c r="K64">
        <f t="shared" ref="K64:Q64" si="64">J126+J127</f>
        <v>10364221690.169031</v>
      </c>
      <c r="L64">
        <f t="shared" si="64"/>
        <v>6594562414.6453772</v>
      </c>
      <c r="M64">
        <f t="shared" si="64"/>
        <v>-6340417206.8068647</v>
      </c>
      <c r="N64">
        <f t="shared" si="64"/>
        <v>-1224782965.2305803</v>
      </c>
      <c r="O64">
        <f t="shared" si="64"/>
        <v>-74985902.964954376</v>
      </c>
      <c r="P64">
        <f t="shared" si="64"/>
        <v>68001180.682654381</v>
      </c>
      <c r="Q64">
        <f t="shared" si="64"/>
        <v>-50771724.235179901</v>
      </c>
      <c r="R64">
        <f t="shared" si="35"/>
        <v>-793308.19117468596</v>
      </c>
    </row>
    <row r="65" spans="1:18" x14ac:dyDescent="0.25">
      <c r="A65">
        <v>64</v>
      </c>
      <c r="B65" t="s">
        <v>87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12201290303.78137</v>
      </c>
      <c r="K65">
        <f t="shared" ref="K65:Q65" si="65">J128+J129</f>
        <v>22247225384.366127</v>
      </c>
      <c r="L65">
        <f t="shared" si="65"/>
        <v>7150249890.0194778</v>
      </c>
      <c r="M65">
        <f t="shared" si="65"/>
        <v>-6490181197.8824224</v>
      </c>
      <c r="N65">
        <f t="shared" si="65"/>
        <v>-1112600338.8543625</v>
      </c>
      <c r="O65">
        <f t="shared" si="65"/>
        <v>-81878732.46612072</v>
      </c>
      <c r="P65">
        <f t="shared" si="65"/>
        <v>74149569.230959892</v>
      </c>
      <c r="Q65">
        <f t="shared" si="65"/>
        <v>-24327312.992017746</v>
      </c>
      <c r="R65">
        <f t="shared" si="35"/>
        <v>-380114.26550027728</v>
      </c>
    </row>
    <row r="66" spans="1:18" x14ac:dyDescent="0.25">
      <c r="A66">
        <v>65</v>
      </c>
      <c r="B66" t="s">
        <v>88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1</v>
      </c>
      <c r="J66">
        <v>1744957731.813566</v>
      </c>
      <c r="K66">
        <f t="shared" ref="K66:Q66" si="66">J3-J2</f>
        <v>4711324705.1853161</v>
      </c>
      <c r="L66">
        <f t="shared" si="66"/>
        <v>12182541392.425211</v>
      </c>
      <c r="M66">
        <f t="shared" si="66"/>
        <v>3815961193.9781418</v>
      </c>
      <c r="N66">
        <f t="shared" si="66"/>
        <v>-973331767.91562653</v>
      </c>
      <c r="O66">
        <f t="shared" si="66"/>
        <v>913075850.40921021</v>
      </c>
      <c r="P66">
        <f t="shared" si="66"/>
        <v>-893662382.13137817</v>
      </c>
      <c r="Q66">
        <f t="shared" si="66"/>
        <v>-24278535674.859558</v>
      </c>
      <c r="R66">
        <f t="shared" si="35"/>
        <v>-379352119.9196806</v>
      </c>
    </row>
    <row r="67" spans="1:18" x14ac:dyDescent="0.25">
      <c r="A67">
        <v>66</v>
      </c>
      <c r="B67" t="s">
        <v>89</v>
      </c>
      <c r="C67">
        <v>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1</v>
      </c>
      <c r="J67">
        <v>6497549136.7163534</v>
      </c>
      <c r="K67">
        <f t="shared" ref="K67:Q67" si="67">J5-J4</f>
        <v>1835692971.4143353</v>
      </c>
      <c r="L67">
        <f t="shared" si="67"/>
        <v>11953552644.264736</v>
      </c>
      <c r="M67">
        <f t="shared" si="67"/>
        <v>3922164788.7625084</v>
      </c>
      <c r="N67">
        <f t="shared" si="67"/>
        <v>-706907633.78488159</v>
      </c>
      <c r="O67">
        <f t="shared" si="67"/>
        <v>1085092501.8349762</v>
      </c>
      <c r="P67">
        <f t="shared" si="67"/>
        <v>-958528419.02313232</v>
      </c>
      <c r="Q67">
        <f t="shared" si="67"/>
        <v>2542488970.0770874</v>
      </c>
      <c r="R67">
        <f t="shared" ref="R67:R98" si="68">Q67/64</f>
        <v>39726390.157454491</v>
      </c>
    </row>
    <row r="68" spans="1:18" x14ac:dyDescent="0.25">
      <c r="A68">
        <v>67</v>
      </c>
      <c r="B68" t="s">
        <v>90</v>
      </c>
      <c r="C68">
        <v>-1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1</v>
      </c>
      <c r="J68">
        <v>9405795708.5274506</v>
      </c>
      <c r="K68">
        <f t="shared" ref="K68:Q68" si="69">J7-J6</f>
        <v>5280463584.8442879</v>
      </c>
      <c r="L68">
        <f t="shared" si="69"/>
        <v>11839698473.422501</v>
      </c>
      <c r="M68">
        <f t="shared" si="69"/>
        <v>3722621700.8306389</v>
      </c>
      <c r="N68">
        <f t="shared" si="69"/>
        <v>-1052312754.0181122</v>
      </c>
      <c r="O68">
        <f t="shared" si="69"/>
        <v>747240049.09741211</v>
      </c>
      <c r="P68">
        <f t="shared" si="69"/>
        <v>-491809132.82925415</v>
      </c>
      <c r="Q68">
        <f t="shared" si="69"/>
        <v>4596117095.7162781</v>
      </c>
      <c r="R68">
        <f t="shared" si="68"/>
        <v>71814329.620566845</v>
      </c>
    </row>
    <row r="69" spans="1:18" x14ac:dyDescent="0.25">
      <c r="A69">
        <v>68</v>
      </c>
      <c r="B69" t="s">
        <v>91</v>
      </c>
      <c r="C69">
        <v>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1</v>
      </c>
      <c r="J69">
        <v>11291417692.48992</v>
      </c>
      <c r="K69">
        <f t="shared" ref="K69:Q69" si="70">J9-J8</f>
        <v>1803964941.7812996</v>
      </c>
      <c r="L69">
        <f t="shared" si="70"/>
        <v>11583284078.004124</v>
      </c>
      <c r="M69">
        <f t="shared" si="70"/>
        <v>3763568060.9342613</v>
      </c>
      <c r="N69">
        <f t="shared" si="70"/>
        <v>-776253054.07091522</v>
      </c>
      <c r="O69">
        <f t="shared" si="70"/>
        <v>828426553.25346375</v>
      </c>
      <c r="P69">
        <f t="shared" si="70"/>
        <v>-284409104.33653259</v>
      </c>
      <c r="Q69">
        <f t="shared" si="70"/>
        <v>974124991.737854</v>
      </c>
      <c r="R69">
        <f t="shared" si="68"/>
        <v>15220702.995903969</v>
      </c>
    </row>
    <row r="70" spans="1:18" x14ac:dyDescent="0.25">
      <c r="A70">
        <v>69</v>
      </c>
      <c r="B70" t="s">
        <v>92</v>
      </c>
      <c r="C70">
        <v>-1</v>
      </c>
      <c r="D70">
        <v>-1</v>
      </c>
      <c r="E70">
        <v>1</v>
      </c>
      <c r="F70">
        <v>-1</v>
      </c>
      <c r="G70">
        <v>-1</v>
      </c>
      <c r="H70">
        <v>-1</v>
      </c>
      <c r="I70">
        <v>1</v>
      </c>
      <c r="J70">
        <v>2468097858.2283301</v>
      </c>
      <c r="K70">
        <f t="shared" ref="K70:Q70" si="71">J11-J10</f>
        <v>4622042171.4701805</v>
      </c>
      <c r="L70">
        <f t="shared" si="71"/>
        <v>12213822928.211514</v>
      </c>
      <c r="M70">
        <f t="shared" si="71"/>
        <v>3815539328.124649</v>
      </c>
      <c r="N70">
        <f t="shared" si="71"/>
        <v>-517981822.77962494</v>
      </c>
      <c r="O70">
        <f t="shared" si="71"/>
        <v>400415362.36361694</v>
      </c>
      <c r="P70">
        <f t="shared" si="71"/>
        <v>-397725921.18571472</v>
      </c>
      <c r="Q70">
        <f t="shared" si="71"/>
        <v>469524576.00465775</v>
      </c>
      <c r="R70">
        <f t="shared" si="68"/>
        <v>7336321.5000727773</v>
      </c>
    </row>
    <row r="71" spans="1:18" x14ac:dyDescent="0.25">
      <c r="A71">
        <v>70</v>
      </c>
      <c r="B71" t="s">
        <v>93</v>
      </c>
      <c r="C71">
        <v>1</v>
      </c>
      <c r="D71">
        <v>-1</v>
      </c>
      <c r="E71">
        <v>1</v>
      </c>
      <c r="F71">
        <v>-1</v>
      </c>
      <c r="G71">
        <v>-1</v>
      </c>
      <c r="H71">
        <v>-1</v>
      </c>
      <c r="I71">
        <v>1</v>
      </c>
      <c r="J71">
        <v>7804309868.3474941</v>
      </c>
      <c r="K71">
        <f t="shared" ref="K71:Q71" si="72">J13-J12</f>
        <v>1723160148.3790073</v>
      </c>
      <c r="L71">
        <f t="shared" si="72"/>
        <v>11985259067.230846</v>
      </c>
      <c r="M71">
        <f t="shared" si="72"/>
        <v>3942219765.4658089</v>
      </c>
      <c r="N71">
        <f t="shared" si="72"/>
        <v>-291069081.8585968</v>
      </c>
      <c r="O71">
        <f t="shared" si="72"/>
        <v>483374001.75363922</v>
      </c>
      <c r="P71">
        <f t="shared" si="72"/>
        <v>-716535083.72055054</v>
      </c>
      <c r="Q71">
        <f t="shared" si="72"/>
        <v>726107745.35796356</v>
      </c>
      <c r="R71">
        <f t="shared" si="68"/>
        <v>11345433.521218181</v>
      </c>
    </row>
    <row r="72" spans="1:18" x14ac:dyDescent="0.25">
      <c r="A72">
        <v>71</v>
      </c>
      <c r="B72" t="s">
        <v>94</v>
      </c>
      <c r="C72">
        <v>-1</v>
      </c>
      <c r="D72">
        <v>1</v>
      </c>
      <c r="E72">
        <v>1</v>
      </c>
      <c r="F72">
        <v>-1</v>
      </c>
      <c r="G72">
        <v>-1</v>
      </c>
      <c r="H72">
        <v>-1</v>
      </c>
      <c r="I72">
        <v>1</v>
      </c>
      <c r="J72">
        <v>10315947169.20936</v>
      </c>
      <c r="K72">
        <f t="shared" ref="K72:Q72" si="73">J15-J14</f>
        <v>5236146261.8637257</v>
      </c>
      <c r="L72">
        <f t="shared" si="73"/>
        <v>11906059657.517384</v>
      </c>
      <c r="M72">
        <f t="shared" si="73"/>
        <v>3710716923.0407333</v>
      </c>
      <c r="N72">
        <f t="shared" si="73"/>
        <v>-725688852.50189209</v>
      </c>
      <c r="O72">
        <f t="shared" si="73"/>
        <v>395134690.93641281</v>
      </c>
      <c r="P72">
        <f t="shared" si="73"/>
        <v>-234546448.67298508</v>
      </c>
      <c r="Q72">
        <f t="shared" si="73"/>
        <v>397517149.22103882</v>
      </c>
      <c r="R72">
        <f t="shared" si="68"/>
        <v>6211205.4565787315</v>
      </c>
    </row>
    <row r="73" spans="1:18" x14ac:dyDescent="0.25">
      <c r="A73">
        <v>72</v>
      </c>
      <c r="B73" t="s">
        <v>95</v>
      </c>
      <c r="C73">
        <v>1</v>
      </c>
      <c r="D73">
        <v>1</v>
      </c>
      <c r="E73">
        <v>1</v>
      </c>
      <c r="F73">
        <v>-1</v>
      </c>
      <c r="G73">
        <v>-1</v>
      </c>
      <c r="H73">
        <v>-1</v>
      </c>
      <c r="I73">
        <v>1</v>
      </c>
      <c r="J73">
        <v>12207921523.16597</v>
      </c>
      <c r="K73">
        <f t="shared" ref="K73:Q73" si="74">J17-J16</f>
        <v>1647301769.3611984</v>
      </c>
      <c r="L73">
        <f t="shared" si="74"/>
        <v>11680770982.108597</v>
      </c>
      <c r="M73">
        <f t="shared" si="74"/>
        <v>3750965567.6274109</v>
      </c>
      <c r="N73">
        <f t="shared" si="74"/>
        <v>-476691223.834198</v>
      </c>
      <c r="O73">
        <f t="shared" si="74"/>
        <v>409004045.97443008</v>
      </c>
      <c r="P73">
        <f t="shared" si="74"/>
        <v>-115105347.19808578</v>
      </c>
      <c r="Q73">
        <f t="shared" si="74"/>
        <v>421309139.1337738</v>
      </c>
      <c r="R73">
        <f t="shared" si="68"/>
        <v>6582955.2989652157</v>
      </c>
    </row>
    <row r="74" spans="1:18" x14ac:dyDescent="0.25">
      <c r="A74">
        <v>73</v>
      </c>
      <c r="B74" t="s">
        <v>96</v>
      </c>
      <c r="C74">
        <v>-1</v>
      </c>
      <c r="D74">
        <v>-1</v>
      </c>
      <c r="E74">
        <v>-1</v>
      </c>
      <c r="F74">
        <v>1</v>
      </c>
      <c r="G74">
        <v>-1</v>
      </c>
      <c r="H74">
        <v>-1</v>
      </c>
      <c r="I74">
        <v>1</v>
      </c>
      <c r="J74">
        <v>1785163760.2714779</v>
      </c>
      <c r="K74">
        <f t="shared" ref="K74:Q74" si="75">J19-J18</f>
        <v>4787109368.925272</v>
      </c>
      <c r="L74">
        <f t="shared" si="75"/>
        <v>12209509726.632668</v>
      </c>
      <c r="M74">
        <f t="shared" si="75"/>
        <v>3856556149.403862</v>
      </c>
      <c r="N74">
        <f t="shared" si="75"/>
        <v>-402795852.15112686</v>
      </c>
      <c r="O74">
        <f t="shared" si="75"/>
        <v>226836046.95176697</v>
      </c>
      <c r="P74">
        <f t="shared" si="75"/>
        <v>-4874160.2469482422</v>
      </c>
      <c r="Q74">
        <f t="shared" si="75"/>
        <v>1497374228.8152237</v>
      </c>
      <c r="R74">
        <f t="shared" si="68"/>
        <v>23396472.32523787</v>
      </c>
    </row>
    <row r="75" spans="1:18" x14ac:dyDescent="0.25">
      <c r="A75">
        <v>74</v>
      </c>
      <c r="B75" t="s">
        <v>97</v>
      </c>
      <c r="C75">
        <v>1</v>
      </c>
      <c r="D75">
        <v>-1</v>
      </c>
      <c r="E75">
        <v>-1</v>
      </c>
      <c r="F75">
        <v>1</v>
      </c>
      <c r="G75">
        <v>-1</v>
      </c>
      <c r="H75">
        <v>-1</v>
      </c>
      <c r="I75">
        <v>1</v>
      </c>
      <c r="J75">
        <v>6458073854.9166164</v>
      </c>
      <c r="K75">
        <f t="shared" ref="K75:Q75" si="76">J21-J20</f>
        <v>1865407682.5184727</v>
      </c>
      <c r="L75">
        <f t="shared" si="76"/>
        <v>11931451956.545021</v>
      </c>
      <c r="M75">
        <f t="shared" si="76"/>
        <v>3969043977.2478867</v>
      </c>
      <c r="N75">
        <f t="shared" si="76"/>
        <v>-333887354.09906006</v>
      </c>
      <c r="O75">
        <f t="shared" si="76"/>
        <v>219250646.79553223</v>
      </c>
      <c r="P75">
        <f t="shared" si="76"/>
        <v>41494937.899028778</v>
      </c>
      <c r="Q75">
        <f t="shared" si="76"/>
        <v>513246966.1485939</v>
      </c>
      <c r="R75">
        <f t="shared" si="68"/>
        <v>8019483.8460717797</v>
      </c>
    </row>
    <row r="76" spans="1:18" x14ac:dyDescent="0.25">
      <c r="A76">
        <v>75</v>
      </c>
      <c r="B76" t="s">
        <v>98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1</v>
      </c>
      <c r="J76">
        <v>9290934321.8556709</v>
      </c>
      <c r="K76">
        <f t="shared" ref="K76:Q76" si="77">J23-J22</f>
        <v>5318144725.758358</v>
      </c>
      <c r="L76">
        <f t="shared" si="77"/>
        <v>11749606973.51685</v>
      </c>
      <c r="M76">
        <f t="shared" si="77"/>
        <v>3782548451.309639</v>
      </c>
      <c r="N76">
        <f t="shared" si="77"/>
        <v>-415438478.6471405</v>
      </c>
      <c r="O76">
        <f t="shared" si="77"/>
        <v>254576520.65740967</v>
      </c>
      <c r="P76">
        <f t="shared" si="77"/>
        <v>-122055932.64326763</v>
      </c>
      <c r="Q76">
        <f t="shared" si="77"/>
        <v>221748875.25029373</v>
      </c>
      <c r="R76">
        <f t="shared" si="68"/>
        <v>3464826.1757858396</v>
      </c>
    </row>
    <row r="77" spans="1:18" x14ac:dyDescent="0.25">
      <c r="A77">
        <v>76</v>
      </c>
      <c r="B77" t="s">
        <v>99</v>
      </c>
      <c r="C77">
        <v>1</v>
      </c>
      <c r="D77">
        <v>1</v>
      </c>
      <c r="E77">
        <v>-1</v>
      </c>
      <c r="F77">
        <v>1</v>
      </c>
      <c r="G77">
        <v>-1</v>
      </c>
      <c r="H77">
        <v>-1</v>
      </c>
      <c r="I77">
        <v>1</v>
      </c>
      <c r="J77">
        <v>11090313507.1917</v>
      </c>
      <c r="K77">
        <f t="shared" ref="K77:Q77" si="78">J25-J24</f>
        <v>1826537858.1789112</v>
      </c>
      <c r="L77">
        <f t="shared" si="78"/>
        <v>11473437670.907303</v>
      </c>
      <c r="M77">
        <f t="shared" si="78"/>
        <v>3827744905.4735031</v>
      </c>
      <c r="N77">
        <f t="shared" si="78"/>
        <v>-371424780.83109093</v>
      </c>
      <c r="O77">
        <f t="shared" si="78"/>
        <v>246066401.087677</v>
      </c>
      <c r="P77">
        <f t="shared" si="78"/>
        <v>18021000.9392519</v>
      </c>
      <c r="Q77">
        <f t="shared" si="78"/>
        <v>554781093.76400375</v>
      </c>
      <c r="R77">
        <f t="shared" si="68"/>
        <v>8668454.5900625587</v>
      </c>
    </row>
    <row r="78" spans="1:18" x14ac:dyDescent="0.25">
      <c r="A78">
        <v>77</v>
      </c>
      <c r="B78" t="s">
        <v>100</v>
      </c>
      <c r="C78">
        <v>-1</v>
      </c>
      <c r="D78">
        <v>-1</v>
      </c>
      <c r="E78">
        <v>1</v>
      </c>
      <c r="F78">
        <v>1</v>
      </c>
      <c r="G78">
        <v>-1</v>
      </c>
      <c r="H78">
        <v>-1</v>
      </c>
      <c r="I78">
        <v>1</v>
      </c>
      <c r="J78">
        <v>2511926960.3720918</v>
      </c>
      <c r="K78">
        <f t="shared" ref="K78:Q78" si="79">J27-J26</f>
        <v>4751563241.7857285</v>
      </c>
      <c r="L78">
        <f t="shared" si="79"/>
        <v>12211606968.500755</v>
      </c>
      <c r="M78">
        <f t="shared" si="79"/>
        <v>3865126201.0319138</v>
      </c>
      <c r="N78">
        <f t="shared" si="79"/>
        <v>-286290380.47301102</v>
      </c>
      <c r="O78">
        <f t="shared" si="79"/>
        <v>-189699389.04385757</v>
      </c>
      <c r="P78">
        <f t="shared" si="79"/>
        <v>-121715318.48800659</v>
      </c>
      <c r="Q78">
        <f t="shared" si="79"/>
        <v>-4529462.9037361145</v>
      </c>
      <c r="R78">
        <f t="shared" si="68"/>
        <v>-70772.857870876789</v>
      </c>
    </row>
    <row r="79" spans="1:18" x14ac:dyDescent="0.25">
      <c r="A79">
        <v>78</v>
      </c>
      <c r="B79" t="s">
        <v>101</v>
      </c>
      <c r="C79">
        <v>1</v>
      </c>
      <c r="D79">
        <v>-1</v>
      </c>
      <c r="E79">
        <v>1</v>
      </c>
      <c r="F79">
        <v>1</v>
      </c>
      <c r="G79">
        <v>-1</v>
      </c>
      <c r="H79">
        <v>-1</v>
      </c>
      <c r="I79">
        <v>1</v>
      </c>
      <c r="J79">
        <v>7819957648.5294323</v>
      </c>
      <c r="K79">
        <f t="shared" ref="K79:Q79" si="80">J29-J28</f>
        <v>1751269420.7766857</v>
      </c>
      <c r="L79">
        <f t="shared" si="80"/>
        <v>11960550627.264841</v>
      </c>
      <c r="M79">
        <f t="shared" si="80"/>
        <v>3984677418.5722084</v>
      </c>
      <c r="N79">
        <f t="shared" si="80"/>
        <v>-174769172.00627899</v>
      </c>
      <c r="O79">
        <f t="shared" si="80"/>
        <v>-267981407.60865211</v>
      </c>
      <c r="P79">
        <f t="shared" si="80"/>
        <v>-17691784.309944153</v>
      </c>
      <c r="Q79">
        <f t="shared" si="80"/>
        <v>166783026.57214165</v>
      </c>
      <c r="R79">
        <f t="shared" si="68"/>
        <v>2605984.7901897132</v>
      </c>
    </row>
    <row r="80" spans="1:18" x14ac:dyDescent="0.25">
      <c r="A80">
        <v>79</v>
      </c>
      <c r="B80" t="s">
        <v>102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1</v>
      </c>
      <c r="J80">
        <v>10230927704.12616</v>
      </c>
      <c r="K80">
        <f t="shared" ref="K80:Q80" si="81">J31-J30</f>
        <v>5288216762.5978889</v>
      </c>
      <c r="L80">
        <f t="shared" si="81"/>
        <v>11833393481.57749</v>
      </c>
      <c r="M80">
        <f t="shared" si="81"/>
        <v>3797635363.6829453</v>
      </c>
      <c r="N80">
        <f t="shared" si="81"/>
        <v>-332490614.73404503</v>
      </c>
      <c r="O80">
        <f t="shared" si="81"/>
        <v>-56112688.288093567</v>
      </c>
      <c r="P80">
        <f t="shared" si="81"/>
        <v>-138029668.84601688</v>
      </c>
      <c r="Q80">
        <f t="shared" si="81"/>
        <v>41117526.328533173</v>
      </c>
      <c r="R80">
        <f t="shared" si="68"/>
        <v>642461.34888333082</v>
      </c>
    </row>
    <row r="81" spans="1:18" x14ac:dyDescent="0.25">
      <c r="A81">
        <v>80</v>
      </c>
      <c r="B81" t="s">
        <v>103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  <c r="I81">
        <v>1</v>
      </c>
      <c r="J81">
        <v>12030717108.455669</v>
      </c>
      <c r="K81">
        <f t="shared" ref="K81:Q81" si="82">J33-J32</f>
        <v>1672262856.1216507</v>
      </c>
      <c r="L81">
        <f t="shared" si="82"/>
        <v>11577705897.054285</v>
      </c>
      <c r="M81">
        <f t="shared" si="82"/>
        <v>3829949438.0468521</v>
      </c>
      <c r="N81">
        <f t="shared" si="82"/>
        <v>-216749332.36648941</v>
      </c>
      <c r="O81">
        <f t="shared" si="82"/>
        <v>-104020233.41277122</v>
      </c>
      <c r="P81">
        <f t="shared" si="82"/>
        <v>-5256787.7712335587</v>
      </c>
      <c r="Q81">
        <f t="shared" si="82"/>
        <v>94363465.316255569</v>
      </c>
      <c r="R81">
        <f t="shared" si="68"/>
        <v>1474429.1455664933</v>
      </c>
    </row>
    <row r="82" spans="1:18" x14ac:dyDescent="0.25">
      <c r="A82">
        <v>81</v>
      </c>
      <c r="B82" t="s">
        <v>104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1748407771.1533239</v>
      </c>
      <c r="K82">
        <f t="shared" ref="K82:Q82" si="83">J35-J34</f>
        <v>4658721768.4367208</v>
      </c>
      <c r="L82">
        <f t="shared" si="83"/>
        <v>12454706532.487453</v>
      </c>
      <c r="M82">
        <f t="shared" si="83"/>
        <v>537410850.02593613</v>
      </c>
      <c r="N82">
        <f t="shared" si="83"/>
        <v>-713111485.26332474</v>
      </c>
      <c r="O82">
        <f t="shared" si="83"/>
        <v>-251936220.97574997</v>
      </c>
      <c r="P82">
        <f t="shared" si="83"/>
        <v>-148326406.38851929</v>
      </c>
      <c r="Q82">
        <f t="shared" si="83"/>
        <v>-422501749.89331055</v>
      </c>
      <c r="R82">
        <f t="shared" si="68"/>
        <v>-6601589.8420829773</v>
      </c>
    </row>
    <row r="83" spans="1:18" x14ac:dyDescent="0.25">
      <c r="A83">
        <v>82</v>
      </c>
      <c r="B83" t="s">
        <v>105</v>
      </c>
      <c r="C83">
        <v>1</v>
      </c>
      <c r="D83">
        <v>-1</v>
      </c>
      <c r="E83">
        <v>-1</v>
      </c>
      <c r="F83">
        <v>-1</v>
      </c>
      <c r="G83">
        <v>1</v>
      </c>
      <c r="H83">
        <v>-1</v>
      </c>
      <c r="I83">
        <v>1</v>
      </c>
      <c r="J83">
        <v>6553324902.3346663</v>
      </c>
      <c r="K83">
        <f t="shared" ref="K83:Q83" si="84">J37-J36</f>
        <v>1830914862.461422</v>
      </c>
      <c r="L83">
        <f t="shared" si="84"/>
        <v>12251460965.799503</v>
      </c>
      <c r="M83">
        <f t="shared" si="84"/>
        <v>538245711.37573624</v>
      </c>
      <c r="N83">
        <f t="shared" si="84"/>
        <v>-612251355.81637955</v>
      </c>
      <c r="O83">
        <f t="shared" si="84"/>
        <v>-296076602.92231369</v>
      </c>
      <c r="P83">
        <f t="shared" si="84"/>
        <v>-393329171.69786835</v>
      </c>
      <c r="Q83">
        <f t="shared" si="84"/>
        <v>-79650627.206413269</v>
      </c>
      <c r="R83">
        <f t="shared" si="68"/>
        <v>-1244541.0501002073</v>
      </c>
    </row>
    <row r="84" spans="1:18" x14ac:dyDescent="0.25">
      <c r="A84">
        <v>83</v>
      </c>
      <c r="B84" t="s">
        <v>106</v>
      </c>
      <c r="C84">
        <v>-1</v>
      </c>
      <c r="D84">
        <v>1</v>
      </c>
      <c r="E84">
        <v>-1</v>
      </c>
      <c r="F84">
        <v>-1</v>
      </c>
      <c r="G84">
        <v>1</v>
      </c>
      <c r="H84">
        <v>-1</v>
      </c>
      <c r="I84">
        <v>1</v>
      </c>
      <c r="J84">
        <v>9439915435.4232063</v>
      </c>
      <c r="K84">
        <f t="shared" ref="K84:Q84" si="85">J39-J38</f>
        <v>5241842103.3524628</v>
      </c>
      <c r="L84">
        <f t="shared" si="85"/>
        <v>12138010213.859276</v>
      </c>
      <c r="M84">
        <f t="shared" si="85"/>
        <v>492165532.49352455</v>
      </c>
      <c r="N84">
        <f t="shared" si="85"/>
        <v>-917917038.75353622</v>
      </c>
      <c r="O84">
        <f t="shared" si="85"/>
        <v>-215306769.86860657</v>
      </c>
      <c r="P84">
        <f t="shared" si="85"/>
        <v>-50180053.22804451</v>
      </c>
      <c r="Q84">
        <f t="shared" si="85"/>
        <v>54556227.997787476</v>
      </c>
      <c r="R84">
        <f t="shared" si="68"/>
        <v>852441.06246542931</v>
      </c>
    </row>
    <row r="85" spans="1:18" x14ac:dyDescent="0.25">
      <c r="A85">
        <v>84</v>
      </c>
      <c r="B85" t="s">
        <v>107</v>
      </c>
      <c r="C85">
        <v>1</v>
      </c>
      <c r="D85">
        <v>1</v>
      </c>
      <c r="E85">
        <v>-1</v>
      </c>
      <c r="F85">
        <v>-1</v>
      </c>
      <c r="G85">
        <v>1</v>
      </c>
      <c r="H85">
        <v>-1</v>
      </c>
      <c r="I85">
        <v>1</v>
      </c>
      <c r="J85">
        <v>11365157836.727301</v>
      </c>
      <c r="K85">
        <f t="shared" ref="K85:Q85" si="86">J41-J40</f>
        <v>1762596839.16782</v>
      </c>
      <c r="L85">
        <f t="shared" si="86"/>
        <v>11929760203.680305</v>
      </c>
      <c r="M85">
        <f t="shared" si="86"/>
        <v>457646956.15712547</v>
      </c>
      <c r="N85">
        <f t="shared" si="86"/>
        <v>-761058217.13381958</v>
      </c>
      <c r="O85">
        <f t="shared" si="86"/>
        <v>-222218817.8743248</v>
      </c>
      <c r="P85">
        <f t="shared" si="86"/>
        <v>-88180394.621244431</v>
      </c>
      <c r="Q85">
        <f t="shared" si="86"/>
        <v>297547874.9516449</v>
      </c>
      <c r="R85">
        <f t="shared" si="68"/>
        <v>4649185.5461194515</v>
      </c>
    </row>
    <row r="86" spans="1:18" x14ac:dyDescent="0.25">
      <c r="A86">
        <v>85</v>
      </c>
      <c r="B86" t="s">
        <v>108</v>
      </c>
      <c r="C86">
        <v>-1</v>
      </c>
      <c r="D86">
        <v>-1</v>
      </c>
      <c r="E86">
        <v>1</v>
      </c>
      <c r="F86">
        <v>-1</v>
      </c>
      <c r="G86">
        <v>1</v>
      </c>
      <c r="H86">
        <v>-1</v>
      </c>
      <c r="I86">
        <v>1</v>
      </c>
      <c r="J86">
        <v>2469289473.2905312</v>
      </c>
      <c r="K86">
        <f t="shared" ref="K86:Q86" si="87">J43-J42</f>
        <v>4615045401.9905272</v>
      </c>
      <c r="L86">
        <f t="shared" si="87"/>
        <v>12503340598.662514</v>
      </c>
      <c r="M86">
        <f t="shared" si="87"/>
        <v>514802311.62213993</v>
      </c>
      <c r="N86">
        <f t="shared" si="87"/>
        <v>-638397080.74737549</v>
      </c>
      <c r="O86">
        <f t="shared" si="87"/>
        <v>-125844072.75102234</v>
      </c>
      <c r="P86">
        <f t="shared" si="87"/>
        <v>-353612414.80765152</v>
      </c>
      <c r="Q86">
        <f t="shared" si="87"/>
        <v>110487236.15513229</v>
      </c>
      <c r="R86">
        <f t="shared" si="68"/>
        <v>1726363.0649239421</v>
      </c>
    </row>
    <row r="87" spans="1:18" x14ac:dyDescent="0.25">
      <c r="A87">
        <v>86</v>
      </c>
      <c r="B87" t="s">
        <v>109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  <c r="I87">
        <v>1</v>
      </c>
      <c r="J87">
        <v>7823801354.8004417</v>
      </c>
      <c r="K87">
        <f t="shared" ref="K87:Q87" si="88">J45-J44</f>
        <v>1670555652.732111</v>
      </c>
      <c r="L87">
        <f t="shared" si="88"/>
        <v>12303172740.76619</v>
      </c>
      <c r="M87">
        <f t="shared" si="88"/>
        <v>507434985.3260088</v>
      </c>
      <c r="N87">
        <f t="shared" si="88"/>
        <v>-584512242.37345886</v>
      </c>
      <c r="O87">
        <f t="shared" si="88"/>
        <v>-141061476.4872427</v>
      </c>
      <c r="P87">
        <f t="shared" si="88"/>
        <v>-336770575.47509766</v>
      </c>
      <c r="Q87">
        <f t="shared" si="88"/>
        <v>29210910.964712143</v>
      </c>
      <c r="R87">
        <f t="shared" si="68"/>
        <v>456420.48382362723</v>
      </c>
    </row>
    <row r="88" spans="1:18" x14ac:dyDescent="0.25">
      <c r="A88">
        <v>87</v>
      </c>
      <c r="B88" t="s">
        <v>110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10336364244.33832</v>
      </c>
      <c r="K88">
        <f t="shared" ref="K88:Q88" si="89">J47-J46</f>
        <v>5229741614.0560265</v>
      </c>
      <c r="L88">
        <f t="shared" si="89"/>
        <v>12201423267.369408</v>
      </c>
      <c r="M88">
        <f t="shared" si="89"/>
        <v>461985796.8367281</v>
      </c>
      <c r="N88">
        <f t="shared" si="89"/>
        <v>-805362891.92172241</v>
      </c>
      <c r="O88">
        <f t="shared" si="89"/>
        <v>-132523119.49235535</v>
      </c>
      <c r="P88">
        <f t="shared" si="89"/>
        <v>-308154660.26944256</v>
      </c>
      <c r="Q88">
        <f t="shared" si="89"/>
        <v>-8352914.0114593506</v>
      </c>
      <c r="R88">
        <f t="shared" si="68"/>
        <v>-130514.28142905235</v>
      </c>
    </row>
    <row r="89" spans="1:18" x14ac:dyDescent="0.25">
      <c r="A89">
        <v>88</v>
      </c>
      <c r="B89" t="s">
        <v>111</v>
      </c>
      <c r="C89">
        <v>1</v>
      </c>
      <c r="D89">
        <v>1</v>
      </c>
      <c r="E89">
        <v>1</v>
      </c>
      <c r="F89">
        <v>-1</v>
      </c>
      <c r="G89">
        <v>1</v>
      </c>
      <c r="H89">
        <v>-1</v>
      </c>
      <c r="I89">
        <v>1</v>
      </c>
      <c r="J89">
        <v>12259899324.518841</v>
      </c>
      <c r="K89">
        <f t="shared" ref="K89:Q89" si="90">J49-J48</f>
        <v>1563294425.9926205</v>
      </c>
      <c r="L89">
        <f t="shared" si="90"/>
        <v>12020577829.685835</v>
      </c>
      <c r="M89">
        <f t="shared" si="90"/>
        <v>419190023.62417793</v>
      </c>
      <c r="N89">
        <f t="shared" si="90"/>
        <v>-754317006.67420959</v>
      </c>
      <c r="O89">
        <f t="shared" si="90"/>
        <v>-105171518.78119755</v>
      </c>
      <c r="P89">
        <f t="shared" si="90"/>
        <v>-33736166.725569725</v>
      </c>
      <c r="Q89">
        <f t="shared" si="90"/>
        <v>-33618062.358541489</v>
      </c>
      <c r="R89">
        <f t="shared" si="68"/>
        <v>-525282.22435221076</v>
      </c>
    </row>
    <row r="90" spans="1:18" x14ac:dyDescent="0.25">
      <c r="A90">
        <v>89</v>
      </c>
      <c r="B90" t="s">
        <v>112</v>
      </c>
      <c r="C90">
        <v>-1</v>
      </c>
      <c r="D90">
        <v>-1</v>
      </c>
      <c r="E90">
        <v>-1</v>
      </c>
      <c r="F90">
        <v>1</v>
      </c>
      <c r="G90">
        <v>1</v>
      </c>
      <c r="H90">
        <v>-1</v>
      </c>
      <c r="I90">
        <v>1</v>
      </c>
      <c r="J90">
        <v>1789570143.145539</v>
      </c>
      <c r="K90">
        <f t="shared" ref="K90:Q90" si="91">J51-J50</f>
        <v>4768941900.6734972</v>
      </c>
      <c r="L90">
        <f t="shared" si="91"/>
        <v>12411263311.99741</v>
      </c>
      <c r="M90">
        <f t="shared" si="91"/>
        <v>589972975.21051693</v>
      </c>
      <c r="N90">
        <f t="shared" si="91"/>
        <v>-135596138.75973129</v>
      </c>
      <c r="O90">
        <f t="shared" si="91"/>
        <v>31550607.189397812</v>
      </c>
      <c r="P90">
        <f t="shared" si="91"/>
        <v>19779127.039848328</v>
      </c>
      <c r="Q90">
        <f t="shared" si="91"/>
        <v>-66573464.489219666</v>
      </c>
      <c r="R90">
        <f t="shared" si="68"/>
        <v>-1040210.3826440573</v>
      </c>
    </row>
    <row r="91" spans="1:18" x14ac:dyDescent="0.25">
      <c r="A91">
        <v>90</v>
      </c>
      <c r="B91" t="s">
        <v>113</v>
      </c>
      <c r="C91">
        <v>1</v>
      </c>
      <c r="D91">
        <v>-1</v>
      </c>
      <c r="E91">
        <v>-1</v>
      </c>
      <c r="F91">
        <v>1</v>
      </c>
      <c r="G91">
        <v>1</v>
      </c>
      <c r="H91">
        <v>-1</v>
      </c>
      <c r="I91">
        <v>1</v>
      </c>
      <c r="J91">
        <v>6579054811.9833889</v>
      </c>
      <c r="K91">
        <f t="shared" ref="K91:Q91" si="92">J53-J52</f>
        <v>1856943063.6017494</v>
      </c>
      <c r="L91">
        <f t="shared" si="92"/>
        <v>12201380850.839016</v>
      </c>
      <c r="M91">
        <f t="shared" si="92"/>
        <v>635530812.50568295</v>
      </c>
      <c r="N91">
        <f t="shared" si="92"/>
        <v>-202939173.49903488</v>
      </c>
      <c r="O91">
        <f t="shared" si="92"/>
        <v>47483146.938074112</v>
      </c>
      <c r="P91">
        <f t="shared" si="92"/>
        <v>-5818990.1036872864</v>
      </c>
      <c r="Q91">
        <f t="shared" si="92"/>
        <v>114340294.96617126</v>
      </c>
      <c r="R91">
        <f t="shared" si="68"/>
        <v>1786567.108846426</v>
      </c>
    </row>
    <row r="92" spans="1:18" x14ac:dyDescent="0.25">
      <c r="A92">
        <v>91</v>
      </c>
      <c r="B92" t="s">
        <v>114</v>
      </c>
      <c r="C92">
        <v>-1</v>
      </c>
      <c r="D92">
        <v>1</v>
      </c>
      <c r="E92">
        <v>-1</v>
      </c>
      <c r="F92">
        <v>1</v>
      </c>
      <c r="G92">
        <v>1</v>
      </c>
      <c r="H92">
        <v>-1</v>
      </c>
      <c r="I92">
        <v>1</v>
      </c>
      <c r="J92">
        <v>9357680424.8804092</v>
      </c>
      <c r="K92">
        <f t="shared" ref="K92:Q92" si="93">J55-J54</f>
        <v>5298727289.4511356</v>
      </c>
      <c r="L92">
        <f t="shared" si="93"/>
        <v>12011299208.774593</v>
      </c>
      <c r="M92">
        <f t="shared" si="93"/>
        <v>547887429.20499516</v>
      </c>
      <c r="N92">
        <f t="shared" si="93"/>
        <v>-303884767.16188049</v>
      </c>
      <c r="O92">
        <f t="shared" si="93"/>
        <v>30482281.287023544</v>
      </c>
      <c r="P92">
        <f t="shared" si="93"/>
        <v>-16479384.522082329</v>
      </c>
      <c r="Q92">
        <f t="shared" si="93"/>
        <v>-152788227.44523239</v>
      </c>
      <c r="R92">
        <f t="shared" si="68"/>
        <v>-2387316.0538317561</v>
      </c>
    </row>
    <row r="93" spans="1:18" x14ac:dyDescent="0.25">
      <c r="A93">
        <v>92</v>
      </c>
      <c r="B93" t="s">
        <v>115</v>
      </c>
      <c r="C93">
        <v>1</v>
      </c>
      <c r="D93">
        <v>1</v>
      </c>
      <c r="E93">
        <v>-1</v>
      </c>
      <c r="F93">
        <v>1</v>
      </c>
      <c r="G93">
        <v>1</v>
      </c>
      <c r="H93">
        <v>-1</v>
      </c>
      <c r="I93">
        <v>1</v>
      </c>
      <c r="J93">
        <v>11212367797.617929</v>
      </c>
      <c r="K93">
        <f t="shared" ref="K93:Q93" si="94">J57-J56</f>
        <v>1789143471.6608391</v>
      </c>
      <c r="L93">
        <f t="shared" si="94"/>
        <v>11795982062.140112</v>
      </c>
      <c r="M93">
        <f t="shared" si="94"/>
        <v>545093239.01884937</v>
      </c>
      <c r="N93">
        <f t="shared" si="94"/>
        <v>-342805205.36632824</v>
      </c>
      <c r="O93">
        <f t="shared" si="94"/>
        <v>40198558.828989029</v>
      </c>
      <c r="P93">
        <f t="shared" si="94"/>
        <v>-2591082.1411790848</v>
      </c>
      <c r="Q93">
        <f t="shared" si="94"/>
        <v>-18398110.413656235</v>
      </c>
      <c r="R93">
        <f t="shared" si="68"/>
        <v>-287470.47521337867</v>
      </c>
    </row>
    <row r="94" spans="1:18" x14ac:dyDescent="0.25">
      <c r="A94">
        <v>93</v>
      </c>
      <c r="B94" t="s">
        <v>116</v>
      </c>
      <c r="C94">
        <v>-1</v>
      </c>
      <c r="D94">
        <v>-1</v>
      </c>
      <c r="E94">
        <v>1</v>
      </c>
      <c r="F94">
        <v>1</v>
      </c>
      <c r="G94">
        <v>1</v>
      </c>
      <c r="H94">
        <v>-1</v>
      </c>
      <c r="I94">
        <v>1</v>
      </c>
      <c r="J94">
        <v>2513232960.3999438</v>
      </c>
      <c r="K94">
        <f t="shared" ref="K94:Q94" si="95">J59-J58</f>
        <v>4761021311.1759968</v>
      </c>
      <c r="L94">
        <f t="shared" si="95"/>
        <v>12452662722.016146</v>
      </c>
      <c r="M94">
        <f t="shared" si="95"/>
        <v>588186952.28077888</v>
      </c>
      <c r="N94">
        <f t="shared" si="95"/>
        <v>-70565116.034069061</v>
      </c>
      <c r="O94">
        <f t="shared" si="95"/>
        <v>105264112.06351852</v>
      </c>
      <c r="P94">
        <f t="shared" si="95"/>
        <v>21407685.876831055</v>
      </c>
      <c r="Q94">
        <f t="shared" si="95"/>
        <v>-2839489.4213218689</v>
      </c>
      <c r="R94">
        <f t="shared" si="68"/>
        <v>-44367.022208154202</v>
      </c>
    </row>
    <row r="95" spans="1:18" x14ac:dyDescent="0.25">
      <c r="A95">
        <v>94</v>
      </c>
      <c r="B95" t="s">
        <v>117</v>
      </c>
      <c r="C95">
        <v>1</v>
      </c>
      <c r="D95">
        <v>-1</v>
      </c>
      <c r="E95">
        <v>1</v>
      </c>
      <c r="F95">
        <v>1</v>
      </c>
      <c r="G95">
        <v>1</v>
      </c>
      <c r="H95">
        <v>-1</v>
      </c>
      <c r="I95">
        <v>1</v>
      </c>
      <c r="J95">
        <v>7859687166.3075237</v>
      </c>
      <c r="K95">
        <f t="shared" ref="K95:Q95" si="96">J61-J60</f>
        <v>1700549149.2899799</v>
      </c>
      <c r="L95">
        <f t="shared" si="96"/>
        <v>12257491698.740364</v>
      </c>
      <c r="M95">
        <f t="shared" si="96"/>
        <v>632651535.54946804</v>
      </c>
      <c r="N95">
        <f t="shared" si="96"/>
        <v>-127788896.11463165</v>
      </c>
      <c r="O95">
        <f t="shared" si="96"/>
        <v>132367279.83944607</v>
      </c>
      <c r="P95">
        <f t="shared" si="96"/>
        <v>-14411664.610141754</v>
      </c>
      <c r="Q95">
        <f t="shared" si="96"/>
        <v>-26326744.448230743</v>
      </c>
      <c r="R95">
        <f t="shared" si="68"/>
        <v>-411355.38200360537</v>
      </c>
    </row>
    <row r="96" spans="1:18" x14ac:dyDescent="0.25">
      <c r="A96">
        <v>95</v>
      </c>
      <c r="B96" t="s">
        <v>118</v>
      </c>
      <c r="C96">
        <v>-1</v>
      </c>
      <c r="D96">
        <v>1</v>
      </c>
      <c r="E96">
        <v>1</v>
      </c>
      <c r="F96">
        <v>1</v>
      </c>
      <c r="G96">
        <v>1</v>
      </c>
      <c r="H96">
        <v>-1</v>
      </c>
      <c r="I96">
        <v>1</v>
      </c>
      <c r="J96">
        <v>10275343440.853331</v>
      </c>
      <c r="K96">
        <f t="shared" ref="K96:Q96" si="97">J63-J62</f>
        <v>5292338091.2162552</v>
      </c>
      <c r="L96">
        <f t="shared" si="97"/>
        <v>12072833719.885201</v>
      </c>
      <c r="M96">
        <f t="shared" si="97"/>
        <v>559979493.67494869</v>
      </c>
      <c r="N96">
        <f t="shared" si="97"/>
        <v>-82326187.79871273</v>
      </c>
      <c r="O96">
        <f t="shared" si="97"/>
        <v>91830703.168205261</v>
      </c>
      <c r="P96">
        <f t="shared" si="97"/>
        <v>18472828.080458641</v>
      </c>
      <c r="Q96">
        <f t="shared" si="97"/>
        <v>10921424.703144073</v>
      </c>
      <c r="R96">
        <f t="shared" si="68"/>
        <v>170647.26098662615</v>
      </c>
    </row>
    <row r="97" spans="1:18" x14ac:dyDescent="0.25">
      <c r="A97">
        <v>96</v>
      </c>
      <c r="B97" t="s">
        <v>119</v>
      </c>
      <c r="C97">
        <v>1</v>
      </c>
      <c r="D97">
        <v>1</v>
      </c>
      <c r="E97">
        <v>1</v>
      </c>
      <c r="F97">
        <v>1</v>
      </c>
      <c r="G97">
        <v>1</v>
      </c>
      <c r="H97">
        <v>-1</v>
      </c>
      <c r="I97">
        <v>1</v>
      </c>
      <c r="J97">
        <v>12118154515.53997</v>
      </c>
      <c r="K97">
        <f t="shared" ref="K97:Q97" si="98">J65-J64</f>
        <v>1588422392.8738995</v>
      </c>
      <c r="L97">
        <f t="shared" si="98"/>
        <v>11883003694.197096</v>
      </c>
      <c r="M97">
        <f t="shared" si="98"/>
        <v>555687475.37410069</v>
      </c>
      <c r="N97">
        <f t="shared" si="98"/>
        <v>-149763991.07555771</v>
      </c>
      <c r="O97">
        <f t="shared" si="98"/>
        <v>112182626.37621784</v>
      </c>
      <c r="P97">
        <f t="shared" si="98"/>
        <v>-6892829.5011663437</v>
      </c>
      <c r="Q97">
        <f t="shared" si="98"/>
        <v>6148388.5483055115</v>
      </c>
      <c r="R97">
        <f t="shared" si="68"/>
        <v>96068.571067273617</v>
      </c>
    </row>
    <row r="98" spans="1:18" x14ac:dyDescent="0.25">
      <c r="A98">
        <v>97</v>
      </c>
      <c r="B98" t="s">
        <v>120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1</v>
      </c>
      <c r="I98">
        <v>1</v>
      </c>
      <c r="J98">
        <v>1740844794.2437539</v>
      </c>
      <c r="K98">
        <f t="shared" ref="K98:Q98" si="99">J67-J66</f>
        <v>4752591404.9027872</v>
      </c>
      <c r="L98">
        <f t="shared" si="99"/>
        <v>-2875631733.7709808</v>
      </c>
      <c r="M98">
        <f t="shared" si="99"/>
        <v>-228988748.16047478</v>
      </c>
      <c r="N98">
        <f t="shared" si="99"/>
        <v>106203594.78436661</v>
      </c>
      <c r="O98">
        <f t="shared" si="99"/>
        <v>266424134.13074493</v>
      </c>
      <c r="P98">
        <f t="shared" si="99"/>
        <v>172016651.42576599</v>
      </c>
      <c r="Q98">
        <f t="shared" si="99"/>
        <v>-64866036.89175415</v>
      </c>
      <c r="R98">
        <f t="shared" si="68"/>
        <v>-1013531.8264336586</v>
      </c>
    </row>
    <row r="99" spans="1:18" x14ac:dyDescent="0.25">
      <c r="A99">
        <v>98</v>
      </c>
      <c r="B99" t="s">
        <v>121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I99">
        <v>1</v>
      </c>
      <c r="J99">
        <v>6482222367.6407557</v>
      </c>
      <c r="K99">
        <f t="shared" ref="K99:Q99" si="100">J69-J68</f>
        <v>1885621983.9624691</v>
      </c>
      <c r="L99">
        <f t="shared" si="100"/>
        <v>-3476498643.0629883</v>
      </c>
      <c r="M99">
        <f t="shared" si="100"/>
        <v>-256414395.41837692</v>
      </c>
      <c r="N99">
        <f t="shared" si="100"/>
        <v>40946360.103622437</v>
      </c>
      <c r="O99">
        <f t="shared" si="100"/>
        <v>276059699.94719696</v>
      </c>
      <c r="P99">
        <f t="shared" si="100"/>
        <v>81186504.156051636</v>
      </c>
      <c r="Q99">
        <f t="shared" si="100"/>
        <v>207400028.49272156</v>
      </c>
      <c r="R99">
        <f t="shared" ref="R99:R130" si="101">Q99/64</f>
        <v>3240625.4451987743</v>
      </c>
    </row>
    <row r="100" spans="1:18" x14ac:dyDescent="0.25">
      <c r="A100">
        <v>99</v>
      </c>
      <c r="B100" t="s">
        <v>122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1</v>
      </c>
      <c r="I100">
        <v>1</v>
      </c>
      <c r="J100">
        <v>9381168197.9026775</v>
      </c>
      <c r="K100">
        <f t="shared" ref="K100:Q100" si="102">J71-J70</f>
        <v>5336212010.1191635</v>
      </c>
      <c r="L100">
        <f t="shared" si="102"/>
        <v>-2898882023.0911732</v>
      </c>
      <c r="M100">
        <f t="shared" si="102"/>
        <v>-228563860.98066711</v>
      </c>
      <c r="N100">
        <f t="shared" si="102"/>
        <v>126680437.34115982</v>
      </c>
      <c r="O100">
        <f t="shared" si="102"/>
        <v>226912740.92102814</v>
      </c>
      <c r="P100">
        <f t="shared" si="102"/>
        <v>82958639.390022278</v>
      </c>
      <c r="Q100">
        <f t="shared" si="102"/>
        <v>-318809162.53483582</v>
      </c>
      <c r="R100">
        <f t="shared" si="101"/>
        <v>-4981393.1646068096</v>
      </c>
    </row>
    <row r="101" spans="1:18" x14ac:dyDescent="0.25">
      <c r="A101">
        <v>100</v>
      </c>
      <c r="B101" t="s">
        <v>123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1</v>
      </c>
      <c r="I101">
        <v>1</v>
      </c>
      <c r="J101">
        <v>11253162275.97924</v>
      </c>
      <c r="K101">
        <f t="shared" ref="K101:Q101" si="103">J73-J72</f>
        <v>1891974353.9566097</v>
      </c>
      <c r="L101">
        <f t="shared" si="103"/>
        <v>-3588844492.5025272</v>
      </c>
      <c r="M101">
        <f t="shared" si="103"/>
        <v>-225288675.40878677</v>
      </c>
      <c r="N101">
        <f t="shared" si="103"/>
        <v>40248644.586677551</v>
      </c>
      <c r="O101">
        <f t="shared" si="103"/>
        <v>248997628.66769409</v>
      </c>
      <c r="P101">
        <f t="shared" si="103"/>
        <v>13869355.038017273</v>
      </c>
      <c r="Q101">
        <f t="shared" si="103"/>
        <v>119441101.47489929</v>
      </c>
      <c r="R101">
        <f t="shared" si="101"/>
        <v>1866267.2105453014</v>
      </c>
    </row>
    <row r="102" spans="1:18" x14ac:dyDescent="0.25">
      <c r="A102">
        <v>101</v>
      </c>
      <c r="B102" t="s">
        <v>124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2466710471.44663</v>
      </c>
      <c r="K102">
        <f t="shared" ref="K102:Q102" si="104">J75-J74</f>
        <v>4672910094.6451387</v>
      </c>
      <c r="L102">
        <f t="shared" si="104"/>
        <v>-2921701686.4067993</v>
      </c>
      <c r="M102">
        <f t="shared" si="104"/>
        <v>-278057770.08764648</v>
      </c>
      <c r="N102">
        <f t="shared" si="104"/>
        <v>112487827.84402466</v>
      </c>
      <c r="O102">
        <f t="shared" si="104"/>
        <v>68908498.052066803</v>
      </c>
      <c r="P102">
        <f t="shared" si="104"/>
        <v>-7585400.1562347412</v>
      </c>
      <c r="Q102">
        <f t="shared" si="104"/>
        <v>46369098.14597702</v>
      </c>
      <c r="R102">
        <f t="shared" si="101"/>
        <v>724517.15853089094</v>
      </c>
    </row>
    <row r="103" spans="1:18" x14ac:dyDescent="0.25">
      <c r="A103">
        <v>102</v>
      </c>
      <c r="B103" t="s">
        <v>125</v>
      </c>
      <c r="C103">
        <v>1</v>
      </c>
      <c r="D103">
        <v>-1</v>
      </c>
      <c r="E103">
        <v>1</v>
      </c>
      <c r="F103">
        <v>-1</v>
      </c>
      <c r="G103">
        <v>-1</v>
      </c>
      <c r="H103">
        <v>1</v>
      </c>
      <c r="I103">
        <v>1</v>
      </c>
      <c r="J103">
        <v>7793861021.5330334</v>
      </c>
      <c r="K103">
        <f t="shared" ref="K103:Q103" si="105">J77-J76</f>
        <v>1799379185.3360291</v>
      </c>
      <c r="L103">
        <f t="shared" si="105"/>
        <v>-3491606867.5794468</v>
      </c>
      <c r="M103">
        <f t="shared" si="105"/>
        <v>-276169302.60954666</v>
      </c>
      <c r="N103">
        <f t="shared" si="105"/>
        <v>45196454.163864136</v>
      </c>
      <c r="O103">
        <f t="shared" si="105"/>
        <v>44013697.816049576</v>
      </c>
      <c r="P103">
        <f t="shared" si="105"/>
        <v>-8510119.569732666</v>
      </c>
      <c r="Q103">
        <f t="shared" si="105"/>
        <v>140076933.58251953</v>
      </c>
      <c r="R103">
        <f t="shared" si="101"/>
        <v>2188702.0872268677</v>
      </c>
    </row>
    <row r="104" spans="1:18" x14ac:dyDescent="0.25">
      <c r="A104">
        <v>103</v>
      </c>
      <c r="B104" t="s">
        <v>126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1</v>
      </c>
      <c r="J104">
        <v>10293772145.075371</v>
      </c>
      <c r="K104">
        <f t="shared" ref="K104:Q104" si="106">J79-J78</f>
        <v>5308030688.157341</v>
      </c>
      <c r="L104">
        <f t="shared" si="106"/>
        <v>-3000293821.0090427</v>
      </c>
      <c r="M104">
        <f t="shared" si="106"/>
        <v>-251056341.23591423</v>
      </c>
      <c r="N104">
        <f t="shared" si="106"/>
        <v>119551217.54029465</v>
      </c>
      <c r="O104">
        <f t="shared" si="106"/>
        <v>111521208.46673203</v>
      </c>
      <c r="P104">
        <f t="shared" si="106"/>
        <v>-78282018.56479454</v>
      </c>
      <c r="Q104">
        <f t="shared" si="106"/>
        <v>104023534.17806244</v>
      </c>
      <c r="R104">
        <f t="shared" si="101"/>
        <v>1625367.7215322256</v>
      </c>
    </row>
    <row r="105" spans="1:18" x14ac:dyDescent="0.25">
      <c r="A105">
        <v>104</v>
      </c>
      <c r="B105" t="s">
        <v>127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1</v>
      </c>
      <c r="J105">
        <v>12168180198.743311</v>
      </c>
      <c r="K105">
        <f t="shared" ref="K105:Q105" si="107">J81-J80</f>
        <v>1799789404.3295097</v>
      </c>
      <c r="L105">
        <f t="shared" si="107"/>
        <v>-3615953906.4762383</v>
      </c>
      <c r="M105">
        <f t="shared" si="107"/>
        <v>-255687584.5232048</v>
      </c>
      <c r="N105">
        <f t="shared" si="107"/>
        <v>32314074.36390686</v>
      </c>
      <c r="O105">
        <f t="shared" si="107"/>
        <v>115741282.36755562</v>
      </c>
      <c r="P105">
        <f t="shared" si="107"/>
        <v>-47907545.124677658</v>
      </c>
      <c r="Q105">
        <f t="shared" si="107"/>
        <v>132772881.07478333</v>
      </c>
      <c r="R105">
        <f t="shared" si="101"/>
        <v>2074576.2667934895</v>
      </c>
    </row>
    <row r="106" spans="1:18" x14ac:dyDescent="0.25">
      <c r="A106">
        <v>105</v>
      </c>
      <c r="B106" t="s">
        <v>128</v>
      </c>
      <c r="C106">
        <v>-1</v>
      </c>
      <c r="D106">
        <v>-1</v>
      </c>
      <c r="E106">
        <v>-1</v>
      </c>
      <c r="F106">
        <v>1</v>
      </c>
      <c r="G106">
        <v>-1</v>
      </c>
      <c r="H106">
        <v>1</v>
      </c>
      <c r="I106">
        <v>1</v>
      </c>
      <c r="J106">
        <v>1779267557.949003</v>
      </c>
      <c r="K106">
        <f t="shared" ref="K106:Q106" si="108">J83-J82</f>
        <v>4804917131.1813421</v>
      </c>
      <c r="L106">
        <f t="shared" si="108"/>
        <v>-2827806905.9752989</v>
      </c>
      <c r="M106">
        <f t="shared" si="108"/>
        <v>-203245566.68795013</v>
      </c>
      <c r="N106">
        <f t="shared" si="108"/>
        <v>834861.34980010986</v>
      </c>
      <c r="O106">
        <f t="shared" si="108"/>
        <v>100860129.44694519</v>
      </c>
      <c r="P106">
        <f t="shared" si="108"/>
        <v>-44140381.946563721</v>
      </c>
      <c r="Q106">
        <f t="shared" si="108"/>
        <v>-245002765.30934906</v>
      </c>
      <c r="R106">
        <f t="shared" si="101"/>
        <v>-3828168.2079585791</v>
      </c>
    </row>
    <row r="107" spans="1:18" x14ac:dyDescent="0.25">
      <c r="A107">
        <v>106</v>
      </c>
      <c r="B107" t="s">
        <v>129</v>
      </c>
      <c r="C107">
        <v>1</v>
      </c>
      <c r="D107">
        <v>-1</v>
      </c>
      <c r="E107">
        <v>-1</v>
      </c>
      <c r="F107">
        <v>1</v>
      </c>
      <c r="G107">
        <v>-1</v>
      </c>
      <c r="H107">
        <v>1</v>
      </c>
      <c r="I107">
        <v>1</v>
      </c>
      <c r="J107">
        <v>6432471638.0363665</v>
      </c>
      <c r="K107">
        <f t="shared" ref="K107:Q107" si="109">J85-J84</f>
        <v>1925242401.3040943</v>
      </c>
      <c r="L107">
        <f t="shared" si="109"/>
        <v>-3479245264.1846428</v>
      </c>
      <c r="M107">
        <f t="shared" si="109"/>
        <v>-208250010.17897034</v>
      </c>
      <c r="N107">
        <f t="shared" si="109"/>
        <v>-34518576.336399078</v>
      </c>
      <c r="O107">
        <f t="shared" si="109"/>
        <v>156858821.61971664</v>
      </c>
      <c r="P107">
        <f t="shared" si="109"/>
        <v>-6912048.0057182312</v>
      </c>
      <c r="Q107">
        <f t="shared" si="109"/>
        <v>-38000341.393199921</v>
      </c>
      <c r="R107">
        <f t="shared" si="101"/>
        <v>-593755.33426874876</v>
      </c>
    </row>
    <row r="108" spans="1:18" x14ac:dyDescent="0.25">
      <c r="A108">
        <v>107</v>
      </c>
      <c r="B108" t="s">
        <v>130</v>
      </c>
      <c r="C108">
        <v>-1</v>
      </c>
      <c r="D108">
        <v>1</v>
      </c>
      <c r="E108">
        <v>-1</v>
      </c>
      <c r="F108">
        <v>1</v>
      </c>
      <c r="G108">
        <v>-1</v>
      </c>
      <c r="H108">
        <v>1</v>
      </c>
      <c r="I108">
        <v>1</v>
      </c>
      <c r="J108">
        <v>9225674216.1875648</v>
      </c>
      <c r="K108">
        <f t="shared" ref="K108:Q108" si="110">J87-J86</f>
        <v>5354511881.5099106</v>
      </c>
      <c r="L108">
        <f t="shared" si="110"/>
        <v>-2944489749.2584162</v>
      </c>
      <c r="M108">
        <f t="shared" si="110"/>
        <v>-200167857.89632416</v>
      </c>
      <c r="N108">
        <f t="shared" si="110"/>
        <v>-7367326.296131134</v>
      </c>
      <c r="O108">
        <f t="shared" si="110"/>
        <v>53884838.373916626</v>
      </c>
      <c r="P108">
        <f t="shared" si="110"/>
        <v>-15217403.73622036</v>
      </c>
      <c r="Q108">
        <f t="shared" si="110"/>
        <v>16841839.332553864</v>
      </c>
      <c r="R108">
        <f t="shared" si="101"/>
        <v>263153.73957115412</v>
      </c>
    </row>
    <row r="109" spans="1:18" x14ac:dyDescent="0.25">
      <c r="A109">
        <v>108</v>
      </c>
      <c r="B109" t="s">
        <v>131</v>
      </c>
      <c r="C109">
        <v>1</v>
      </c>
      <c r="D109">
        <v>1</v>
      </c>
      <c r="E109">
        <v>-1</v>
      </c>
      <c r="F109">
        <v>1</v>
      </c>
      <c r="G109">
        <v>-1</v>
      </c>
      <c r="H109">
        <v>1</v>
      </c>
      <c r="I109">
        <v>1</v>
      </c>
      <c r="J109">
        <v>10997364188.572399</v>
      </c>
      <c r="K109">
        <f t="shared" ref="K109:Q109" si="111">J89-J88</f>
        <v>1923535080.180521</v>
      </c>
      <c r="L109">
        <f t="shared" si="111"/>
        <v>-3666447188.063406</v>
      </c>
      <c r="M109">
        <f t="shared" si="111"/>
        <v>-180845437.68357277</v>
      </c>
      <c r="N109">
        <f t="shared" si="111"/>
        <v>-42795773.212550163</v>
      </c>
      <c r="O109">
        <f t="shared" si="111"/>
        <v>51045885.247512817</v>
      </c>
      <c r="P109">
        <f t="shared" si="111"/>
        <v>27351600.711157799</v>
      </c>
      <c r="Q109">
        <f t="shared" si="111"/>
        <v>274418493.54387283</v>
      </c>
      <c r="R109">
        <f t="shared" si="101"/>
        <v>4287788.961623013</v>
      </c>
    </row>
    <row r="110" spans="1:18" x14ac:dyDescent="0.25">
      <c r="A110">
        <v>109</v>
      </c>
      <c r="B110" t="s">
        <v>132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1</v>
      </c>
      <c r="I110">
        <v>1</v>
      </c>
      <c r="J110">
        <v>2510747324.3301711</v>
      </c>
      <c r="K110">
        <f t="shared" ref="K110:Q110" si="112">J91-J90</f>
        <v>4789484668.8378496</v>
      </c>
      <c r="L110">
        <f t="shared" si="112"/>
        <v>-2911998837.0717478</v>
      </c>
      <c r="M110">
        <f t="shared" si="112"/>
        <v>-209882461.15839386</v>
      </c>
      <c r="N110">
        <f t="shared" si="112"/>
        <v>45557837.295166016</v>
      </c>
      <c r="O110">
        <f t="shared" si="112"/>
        <v>-67343034.739303589</v>
      </c>
      <c r="P110">
        <f t="shared" si="112"/>
        <v>15932539.7486763</v>
      </c>
      <c r="Q110">
        <f t="shared" si="112"/>
        <v>-25598117.143535614</v>
      </c>
      <c r="R110">
        <f t="shared" si="101"/>
        <v>-399970.58036774397</v>
      </c>
    </row>
    <row r="111" spans="1:18" x14ac:dyDescent="0.25">
      <c r="A111">
        <v>110</v>
      </c>
      <c r="B111" t="s">
        <v>133</v>
      </c>
      <c r="C111">
        <v>1</v>
      </c>
      <c r="D111">
        <v>-1</v>
      </c>
      <c r="E111">
        <v>1</v>
      </c>
      <c r="F111">
        <v>1</v>
      </c>
      <c r="G111">
        <v>-1</v>
      </c>
      <c r="H111">
        <v>1</v>
      </c>
      <c r="I111">
        <v>1</v>
      </c>
      <c r="J111">
        <v>7800989154.2585459</v>
      </c>
      <c r="K111">
        <f t="shared" ref="K111:Q111" si="113">J93-J92</f>
        <v>1854687372.7375202</v>
      </c>
      <c r="L111">
        <f t="shared" si="113"/>
        <v>-3509583817.7902966</v>
      </c>
      <c r="M111">
        <f t="shared" si="113"/>
        <v>-215317146.63448143</v>
      </c>
      <c r="N111">
        <f t="shared" si="113"/>
        <v>-2794190.1861457825</v>
      </c>
      <c r="O111">
        <f t="shared" si="113"/>
        <v>-38920438.204447746</v>
      </c>
      <c r="P111">
        <f t="shared" si="113"/>
        <v>9716277.5419654846</v>
      </c>
      <c r="Q111">
        <f t="shared" si="113"/>
        <v>13888302.380903244</v>
      </c>
      <c r="R111">
        <f t="shared" si="101"/>
        <v>217004.72470161319</v>
      </c>
    </row>
    <row r="112" spans="1:18" x14ac:dyDescent="0.25">
      <c r="A112">
        <v>111</v>
      </c>
      <c r="B112" t="s">
        <v>134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10170207391.31777</v>
      </c>
      <c r="K112">
        <f t="shared" ref="K112:Q112" si="114">J95-J94</f>
        <v>5346454205.9075794</v>
      </c>
      <c r="L112">
        <f t="shared" si="114"/>
        <v>-3060472161.8860168</v>
      </c>
      <c r="M112">
        <f t="shared" si="114"/>
        <v>-195171023.27578163</v>
      </c>
      <c r="N112">
        <f t="shared" si="114"/>
        <v>44464583.268689156</v>
      </c>
      <c r="O112">
        <f t="shared" si="114"/>
        <v>-57223780.080562592</v>
      </c>
      <c r="P112">
        <f t="shared" si="114"/>
        <v>27103167.775927544</v>
      </c>
      <c r="Q112">
        <f t="shared" si="114"/>
        <v>-35819350.486972809</v>
      </c>
      <c r="R112">
        <f t="shared" si="101"/>
        <v>-559677.35135895014</v>
      </c>
    </row>
    <row r="113" spans="1:18" x14ac:dyDescent="0.25">
      <c r="A113">
        <v>112</v>
      </c>
      <c r="B113" t="s">
        <v>135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1</v>
      </c>
      <c r="J113">
        <v>11937511149.41106</v>
      </c>
      <c r="K113">
        <f t="shared" ref="K113:Q113" si="115">J97-J96</f>
        <v>1842811074.6866398</v>
      </c>
      <c r="L113">
        <f t="shared" si="115"/>
        <v>-3703915698.3423557</v>
      </c>
      <c r="M113">
        <f t="shared" si="115"/>
        <v>-189830025.68810463</v>
      </c>
      <c r="N113">
        <f t="shared" si="115"/>
        <v>-4292018.3008480072</v>
      </c>
      <c r="O113">
        <f t="shared" si="115"/>
        <v>-67437803.276844978</v>
      </c>
      <c r="P113">
        <f t="shared" si="115"/>
        <v>20351923.208012581</v>
      </c>
      <c r="Q113">
        <f t="shared" si="115"/>
        <v>-25365657.581624985</v>
      </c>
      <c r="R113">
        <f t="shared" si="101"/>
        <v>-396338.39971289039</v>
      </c>
    </row>
    <row r="114" spans="1:18" x14ac:dyDescent="0.25">
      <c r="A114">
        <v>113</v>
      </c>
      <c r="B114" t="s">
        <v>136</v>
      </c>
      <c r="C114">
        <v>-1</v>
      </c>
      <c r="D114">
        <v>-1</v>
      </c>
      <c r="E114">
        <v>-1</v>
      </c>
      <c r="F114">
        <v>-1</v>
      </c>
      <c r="G114">
        <v>1</v>
      </c>
      <c r="H114">
        <v>1</v>
      </c>
      <c r="I114">
        <v>1</v>
      </c>
      <c r="J114">
        <v>1746133632.711318</v>
      </c>
      <c r="K114">
        <f t="shared" ref="K114:Q114" si="116">J99-J98</f>
        <v>4741377573.3970013</v>
      </c>
      <c r="L114">
        <f t="shared" si="116"/>
        <v>-2866969420.9403181</v>
      </c>
      <c r="M114">
        <f t="shared" si="116"/>
        <v>-600866909.29200745</v>
      </c>
      <c r="N114">
        <f t="shared" si="116"/>
        <v>-27425647.257902145</v>
      </c>
      <c r="O114">
        <f t="shared" si="116"/>
        <v>-65257234.680744171</v>
      </c>
      <c r="P114">
        <f t="shared" si="116"/>
        <v>9635565.8164520264</v>
      </c>
      <c r="Q114">
        <f t="shared" si="116"/>
        <v>-90830147.269714355</v>
      </c>
      <c r="R114">
        <f t="shared" si="101"/>
        <v>-1419221.0510892868</v>
      </c>
    </row>
    <row r="115" spans="1:18" x14ac:dyDescent="0.25">
      <c r="A115">
        <v>114</v>
      </c>
      <c r="B115" t="s">
        <v>137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1</v>
      </c>
      <c r="I115">
        <v>1</v>
      </c>
      <c r="J115">
        <v>6545535149.0742865</v>
      </c>
      <c r="K115">
        <f t="shared" ref="K115:Q115" si="117">J101-J100</f>
        <v>1871994078.0765629</v>
      </c>
      <c r="L115">
        <f t="shared" si="117"/>
        <v>-3444237656.1625538</v>
      </c>
      <c r="M115">
        <f t="shared" si="117"/>
        <v>-689962469.41135406</v>
      </c>
      <c r="N115">
        <f t="shared" si="117"/>
        <v>3275185.5718803406</v>
      </c>
      <c r="O115">
        <f t="shared" si="117"/>
        <v>-86431792.754482269</v>
      </c>
      <c r="P115">
        <f t="shared" si="117"/>
        <v>22084887.746665955</v>
      </c>
      <c r="Q115">
        <f t="shared" si="117"/>
        <v>-69089284.352005005</v>
      </c>
      <c r="R115">
        <f t="shared" si="101"/>
        <v>-1079520.0680000782</v>
      </c>
    </row>
    <row r="116" spans="1:18" x14ac:dyDescent="0.25">
      <c r="A116">
        <v>115</v>
      </c>
      <c r="B116" t="s">
        <v>138</v>
      </c>
      <c r="C116">
        <v>-1</v>
      </c>
      <c r="D116">
        <v>1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9421470974.2432613</v>
      </c>
      <c r="K116">
        <f t="shared" ref="K116:Q116" si="118">J103-J102</f>
        <v>5327150550.0864029</v>
      </c>
      <c r="L116">
        <f t="shared" si="118"/>
        <v>-2873530909.3091097</v>
      </c>
      <c r="M116">
        <f t="shared" si="118"/>
        <v>-569905181.17264748</v>
      </c>
      <c r="N116">
        <f t="shared" si="118"/>
        <v>1888467.478099823</v>
      </c>
      <c r="O116">
        <f t="shared" si="118"/>
        <v>-67291373.680160522</v>
      </c>
      <c r="P116">
        <f t="shared" si="118"/>
        <v>-24894800.236017227</v>
      </c>
      <c r="Q116">
        <f t="shared" si="118"/>
        <v>-924719.4134979248</v>
      </c>
      <c r="R116">
        <f t="shared" si="101"/>
        <v>-14448.740835905075</v>
      </c>
    </row>
    <row r="117" spans="1:18" x14ac:dyDescent="0.25">
      <c r="A117">
        <v>116</v>
      </c>
      <c r="B117" t="s">
        <v>139</v>
      </c>
      <c r="C117">
        <v>1</v>
      </c>
      <c r="D117">
        <v>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11322860529.558491</v>
      </c>
      <c r="K117">
        <f t="shared" ref="K117:Q117" si="119">J105-J104</f>
        <v>1874408053.6679401</v>
      </c>
      <c r="L117">
        <f t="shared" si="119"/>
        <v>-3508241283.8278313</v>
      </c>
      <c r="M117">
        <f t="shared" si="119"/>
        <v>-615660085.46719551</v>
      </c>
      <c r="N117">
        <f t="shared" si="119"/>
        <v>-4631243.2872905731</v>
      </c>
      <c r="O117">
        <f t="shared" si="119"/>
        <v>-87237143.176387787</v>
      </c>
      <c r="P117">
        <f t="shared" si="119"/>
        <v>4220073.9008235931</v>
      </c>
      <c r="Q117">
        <f t="shared" si="119"/>
        <v>30374473.440116882</v>
      </c>
      <c r="R117">
        <f t="shared" si="101"/>
        <v>474601.14750182629</v>
      </c>
    </row>
    <row r="118" spans="1:18" x14ac:dyDescent="0.25">
      <c r="A118">
        <v>117</v>
      </c>
      <c r="B118" t="s">
        <v>140</v>
      </c>
      <c r="C118">
        <v>-1</v>
      </c>
      <c r="D118">
        <v>-1</v>
      </c>
      <c r="E118">
        <v>1</v>
      </c>
      <c r="F118">
        <v>-1</v>
      </c>
      <c r="G118">
        <v>1</v>
      </c>
      <c r="H118">
        <v>1</v>
      </c>
      <c r="I118">
        <v>1</v>
      </c>
      <c r="J118">
        <v>2468242034.8544168</v>
      </c>
      <c r="K118">
        <f t="shared" ref="K118:Q118" si="120">J107-J106</f>
        <v>4653204080.0873632</v>
      </c>
      <c r="L118">
        <f t="shared" si="120"/>
        <v>-2879674729.8772478</v>
      </c>
      <c r="M118">
        <f t="shared" si="120"/>
        <v>-651438358.20934391</v>
      </c>
      <c r="N118">
        <f t="shared" si="120"/>
        <v>-5004443.4910202026</v>
      </c>
      <c r="O118">
        <f t="shared" si="120"/>
        <v>-35353437.686199188</v>
      </c>
      <c r="P118">
        <f t="shared" si="120"/>
        <v>55998692.172771454</v>
      </c>
      <c r="Q118">
        <f t="shared" si="120"/>
        <v>37228333.94084549</v>
      </c>
      <c r="R118">
        <f t="shared" si="101"/>
        <v>581692.71782571077</v>
      </c>
    </row>
    <row r="119" spans="1:18" x14ac:dyDescent="0.25">
      <c r="A119">
        <v>118</v>
      </c>
      <c r="B119" t="s">
        <v>141</v>
      </c>
      <c r="C119">
        <v>1</v>
      </c>
      <c r="D119">
        <v>-1</v>
      </c>
      <c r="E119">
        <v>1</v>
      </c>
      <c r="F119">
        <v>-1</v>
      </c>
      <c r="G119">
        <v>1</v>
      </c>
      <c r="H119">
        <v>1</v>
      </c>
      <c r="I119">
        <v>1</v>
      </c>
      <c r="J119">
        <v>7819829940.410553</v>
      </c>
      <c r="K119">
        <f t="shared" ref="K119:Q119" si="121">J109-J108</f>
        <v>1771689972.3848343</v>
      </c>
      <c r="L119">
        <f t="shared" si="121"/>
        <v>-3430976801.3293896</v>
      </c>
      <c r="M119">
        <f t="shared" si="121"/>
        <v>-721957438.80498981</v>
      </c>
      <c r="N119">
        <f t="shared" si="121"/>
        <v>19322420.212751389</v>
      </c>
      <c r="O119">
        <f t="shared" si="121"/>
        <v>-35428446.916419029</v>
      </c>
      <c r="P119">
        <f t="shared" si="121"/>
        <v>-2838953.1264038086</v>
      </c>
      <c r="Q119">
        <f t="shared" si="121"/>
        <v>42569004.447378159</v>
      </c>
      <c r="R119">
        <f t="shared" si="101"/>
        <v>665140.69449028373</v>
      </c>
    </row>
    <row r="120" spans="1:18" x14ac:dyDescent="0.25">
      <c r="A120">
        <v>119</v>
      </c>
      <c r="B120" t="s">
        <v>142</v>
      </c>
      <c r="C120">
        <v>-1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10318190507.10416</v>
      </c>
      <c r="K120">
        <f t="shared" ref="K120:Q120" si="122">J111-J110</f>
        <v>5290241829.9283752</v>
      </c>
      <c r="L120">
        <f t="shared" si="122"/>
        <v>-2934797296.1003294</v>
      </c>
      <c r="M120">
        <f t="shared" si="122"/>
        <v>-597584980.71854877</v>
      </c>
      <c r="N120">
        <f t="shared" si="122"/>
        <v>-5434685.4760875702</v>
      </c>
      <c r="O120">
        <f t="shared" si="122"/>
        <v>-48352027.481311798</v>
      </c>
      <c r="P120">
        <f t="shared" si="122"/>
        <v>28422596.534855843</v>
      </c>
      <c r="Q120">
        <f t="shared" si="122"/>
        <v>-6216262.2067108154</v>
      </c>
      <c r="R120">
        <f t="shared" si="101"/>
        <v>-97129.096979856491</v>
      </c>
    </row>
    <row r="121" spans="1:18" x14ac:dyDescent="0.25">
      <c r="A121">
        <v>120</v>
      </c>
      <c r="B121" t="s">
        <v>143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1</v>
      </c>
      <c r="J121">
        <v>12227373166.901171</v>
      </c>
      <c r="K121">
        <f t="shared" ref="K121:Q121" si="123">J113-J112</f>
        <v>1767303758.0932903</v>
      </c>
      <c r="L121">
        <f t="shared" si="123"/>
        <v>-3503643131.2209396</v>
      </c>
      <c r="M121">
        <f t="shared" si="123"/>
        <v>-643443536.45633888</v>
      </c>
      <c r="N121">
        <f t="shared" si="123"/>
        <v>5340997.587677002</v>
      </c>
      <c r="O121">
        <f t="shared" si="123"/>
        <v>-48756601.569537163</v>
      </c>
      <c r="P121">
        <f t="shared" si="123"/>
        <v>-10214023.196282387</v>
      </c>
      <c r="Q121">
        <f t="shared" si="123"/>
        <v>-6751244.5679149628</v>
      </c>
      <c r="R121">
        <f t="shared" si="101"/>
        <v>-105488.19637367129</v>
      </c>
    </row>
    <row r="122" spans="1:18" x14ac:dyDescent="0.25">
      <c r="A122">
        <v>121</v>
      </c>
      <c r="B122" t="s">
        <v>144</v>
      </c>
      <c r="C122">
        <v>-1</v>
      </c>
      <c r="D122">
        <v>-1</v>
      </c>
      <c r="E122">
        <v>-1</v>
      </c>
      <c r="F122">
        <v>1</v>
      </c>
      <c r="G122">
        <v>1</v>
      </c>
      <c r="H122">
        <v>1</v>
      </c>
      <c r="I122">
        <v>1</v>
      </c>
      <c r="J122">
        <v>1788278607.5220001</v>
      </c>
      <c r="K122">
        <f t="shared" ref="K122:Q122" si="124">J115-J114</f>
        <v>4799401516.3629684</v>
      </c>
      <c r="L122">
        <f t="shared" si="124"/>
        <v>-2869383495.3204384</v>
      </c>
      <c r="M122">
        <f t="shared" si="124"/>
        <v>-577268235.22223568</v>
      </c>
      <c r="N122">
        <f t="shared" si="124"/>
        <v>-89095560.119346619</v>
      </c>
      <c r="O122">
        <f t="shared" si="124"/>
        <v>30700832.829782486</v>
      </c>
      <c r="P122">
        <f t="shared" si="124"/>
        <v>-21174558.073738098</v>
      </c>
      <c r="Q122">
        <f t="shared" si="124"/>
        <v>12449321.930213928</v>
      </c>
      <c r="R122">
        <f t="shared" si="101"/>
        <v>194520.65515959263</v>
      </c>
    </row>
    <row r="123" spans="1:18" x14ac:dyDescent="0.25">
      <c r="A123">
        <v>122</v>
      </c>
      <c r="B123" t="s">
        <v>145</v>
      </c>
      <c r="C123">
        <v>1</v>
      </c>
      <c r="D123">
        <v>-1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6566053350.7795506</v>
      </c>
      <c r="K123">
        <f t="shared" ref="K123:Q123" si="125">J117-J116</f>
        <v>1901389555.3152294</v>
      </c>
      <c r="L123">
        <f t="shared" si="125"/>
        <v>-3452742496.4184628</v>
      </c>
      <c r="M123">
        <f t="shared" si="125"/>
        <v>-634710374.51872158</v>
      </c>
      <c r="N123">
        <f t="shared" si="125"/>
        <v>-45754904.294548035</v>
      </c>
      <c r="O123">
        <f t="shared" si="125"/>
        <v>-6519710.7653903961</v>
      </c>
      <c r="P123">
        <f t="shared" si="125"/>
        <v>-19945769.496227264</v>
      </c>
      <c r="Q123">
        <f t="shared" si="125"/>
        <v>29114874.13684082</v>
      </c>
      <c r="R123">
        <f t="shared" si="101"/>
        <v>454919.90838813782</v>
      </c>
    </row>
    <row r="124" spans="1:18" x14ac:dyDescent="0.25">
      <c r="A124">
        <v>123</v>
      </c>
      <c r="B124" t="s">
        <v>146</v>
      </c>
      <c r="C124">
        <v>-1</v>
      </c>
      <c r="D124">
        <v>1</v>
      </c>
      <c r="E124">
        <v>-1</v>
      </c>
      <c r="F124">
        <v>1</v>
      </c>
      <c r="G124">
        <v>1</v>
      </c>
      <c r="H124">
        <v>1</v>
      </c>
      <c r="I124">
        <v>1</v>
      </c>
      <c r="J124">
        <v>9305189003.3994637</v>
      </c>
      <c r="K124">
        <f t="shared" ref="K124:Q124" si="126">J119-J118</f>
        <v>5351587905.5561361</v>
      </c>
      <c r="L124">
        <f t="shared" si="126"/>
        <v>-2881514107.702529</v>
      </c>
      <c r="M124">
        <f t="shared" si="126"/>
        <v>-551302071.45214176</v>
      </c>
      <c r="N124">
        <f t="shared" si="126"/>
        <v>-70519080.595645905</v>
      </c>
      <c r="O124">
        <f t="shared" si="126"/>
        <v>24326863.703771591</v>
      </c>
      <c r="P124">
        <f t="shared" si="126"/>
        <v>-75009.230219841003</v>
      </c>
      <c r="Q124">
        <f t="shared" si="126"/>
        <v>-58837645.299175262</v>
      </c>
      <c r="R124">
        <f t="shared" si="101"/>
        <v>-919338.20779961348</v>
      </c>
    </row>
    <row r="125" spans="1:18" x14ac:dyDescent="0.25">
      <c r="A125">
        <v>124</v>
      </c>
      <c r="B125" t="s">
        <v>147</v>
      </c>
      <c r="C125">
        <v>1</v>
      </c>
      <c r="D125">
        <v>1</v>
      </c>
      <c r="E125">
        <v>-1</v>
      </c>
      <c r="F125">
        <v>1</v>
      </c>
      <c r="G125">
        <v>1</v>
      </c>
      <c r="H125">
        <v>1</v>
      </c>
      <c r="I125">
        <v>1</v>
      </c>
      <c r="J125">
        <v>11121976674.787291</v>
      </c>
      <c r="K125">
        <f t="shared" ref="K125:Q125" si="127">J121-J120</f>
        <v>1909182659.7970104</v>
      </c>
      <c r="L125">
        <f t="shared" si="127"/>
        <v>-3522938071.8350849</v>
      </c>
      <c r="M125">
        <f t="shared" si="127"/>
        <v>-568845835.12061024</v>
      </c>
      <c r="N125">
        <f t="shared" si="127"/>
        <v>-45858555.737790108</v>
      </c>
      <c r="O125">
        <f t="shared" si="127"/>
        <v>10775683.063764572</v>
      </c>
      <c r="P125">
        <f t="shared" si="127"/>
        <v>-404574.08822536469</v>
      </c>
      <c r="Q125">
        <f t="shared" si="127"/>
        <v>-38636619.731138229</v>
      </c>
      <c r="R125">
        <f t="shared" si="101"/>
        <v>-603697.18329903483</v>
      </c>
    </row>
    <row r="126" spans="1:18" x14ac:dyDescent="0.25">
      <c r="A126">
        <v>125</v>
      </c>
      <c r="B126" t="s">
        <v>148</v>
      </c>
      <c r="C126">
        <v>-1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2512249841.0764718</v>
      </c>
      <c r="K126">
        <f t="shared" ref="K126:Q126" si="128">J123-J122</f>
        <v>4777774743.2575502</v>
      </c>
      <c r="L126">
        <f t="shared" si="128"/>
        <v>-2898011961.047739</v>
      </c>
      <c r="M126">
        <f t="shared" si="128"/>
        <v>-583359001.09802437</v>
      </c>
      <c r="N126">
        <f t="shared" si="128"/>
        <v>-57442139.296485901</v>
      </c>
      <c r="O126">
        <f t="shared" si="128"/>
        <v>43340655.824798584</v>
      </c>
      <c r="P126">
        <f t="shared" si="128"/>
        <v>-37220543.595172882</v>
      </c>
      <c r="Q126">
        <f t="shared" si="128"/>
        <v>1228788.5775108337</v>
      </c>
      <c r="R126">
        <f t="shared" si="101"/>
        <v>19199.821523606777</v>
      </c>
    </row>
    <row r="127" spans="1:18" x14ac:dyDescent="0.25">
      <c r="A127">
        <v>126</v>
      </c>
      <c r="B127" t="s">
        <v>149</v>
      </c>
      <c r="C127">
        <v>1</v>
      </c>
      <c r="D127">
        <v>-1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7851971849.0925598</v>
      </c>
      <c r="K127">
        <f t="shared" ref="K127:Q127" si="129">J125-J124</f>
        <v>1816787671.3878269</v>
      </c>
      <c r="L127">
        <f t="shared" si="129"/>
        <v>-3442405245.7591257</v>
      </c>
      <c r="M127">
        <f t="shared" si="129"/>
        <v>-641423964.13255596</v>
      </c>
      <c r="N127">
        <f t="shared" si="129"/>
        <v>-17543763.668468475</v>
      </c>
      <c r="O127">
        <f t="shared" si="129"/>
        <v>24660524.857855797</v>
      </c>
      <c r="P127">
        <f t="shared" si="129"/>
        <v>-13551180.640007019</v>
      </c>
      <c r="Q127">
        <f t="shared" si="129"/>
        <v>-329564.85800552368</v>
      </c>
      <c r="R127">
        <f t="shared" si="101"/>
        <v>-5149.4509063363075</v>
      </c>
    </row>
    <row r="128" spans="1:18" x14ac:dyDescent="0.25">
      <c r="A128">
        <v>127</v>
      </c>
      <c r="B128" t="s">
        <v>150</v>
      </c>
      <c r="C128">
        <v>-1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10218348751.18137</v>
      </c>
      <c r="K128">
        <f t="shared" ref="K128:Q128" si="130">J127-J126</f>
        <v>5339722008.0160885</v>
      </c>
      <c r="L128">
        <f t="shared" si="130"/>
        <v>-2960987071.8697233</v>
      </c>
      <c r="M128">
        <f t="shared" si="130"/>
        <v>-544393284.71138668</v>
      </c>
      <c r="N128">
        <f t="shared" si="130"/>
        <v>-58064963.034531593</v>
      </c>
      <c r="O128">
        <f t="shared" si="130"/>
        <v>39898375.628017426</v>
      </c>
      <c r="P128">
        <f t="shared" si="130"/>
        <v>-18680130.966942787</v>
      </c>
      <c r="Q128">
        <f t="shared" si="130"/>
        <v>23669362.955165863</v>
      </c>
      <c r="R128">
        <f t="shared" si="101"/>
        <v>369833.79617446661</v>
      </c>
    </row>
    <row r="129" spans="1:18" x14ac:dyDescent="0.25">
      <c r="A129">
        <v>128</v>
      </c>
      <c r="B129" t="s">
        <v>151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12028876633.184759</v>
      </c>
      <c r="K129">
        <f t="shared" ref="K129:Q129" si="131">J129-J128</f>
        <v>1810527882.0033894</v>
      </c>
      <c r="L129">
        <f t="shared" si="131"/>
        <v>-3529194126.0126991</v>
      </c>
      <c r="M129">
        <f t="shared" si="131"/>
        <v>-568207054.14297581</v>
      </c>
      <c r="N129">
        <f t="shared" si="131"/>
        <v>-23813769.431589127</v>
      </c>
      <c r="O129">
        <f t="shared" si="131"/>
        <v>34251193.602942467</v>
      </c>
      <c r="P129">
        <f t="shared" si="131"/>
        <v>-5647182.0250749588</v>
      </c>
      <c r="Q129">
        <f t="shared" si="131"/>
        <v>13032948.941867828</v>
      </c>
      <c r="R129">
        <f t="shared" si="101"/>
        <v>203639.82721668482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29"/>
  <sheetViews>
    <sheetView workbookViewId="0"/>
  </sheetViews>
  <sheetFormatPr baseColWidth="10" defaultColWidth="9.140625" defaultRowHeight="15" x14ac:dyDescent="0.25"/>
  <sheetData>
    <row r="1" spans="1:18" x14ac:dyDescent="0.25">
      <c r="A1" t="s">
        <v>202</v>
      </c>
      <c r="B1" t="s">
        <v>203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</row>
    <row r="2" spans="1:18" x14ac:dyDescent="0.25">
      <c r="A2">
        <v>1</v>
      </c>
      <c r="B2" t="s">
        <v>24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19</v>
      </c>
      <c r="K2">
        <f t="shared" ref="K2:Q2" si="0">J2+J3</f>
        <v>45</v>
      </c>
      <c r="L2">
        <f t="shared" si="0"/>
        <v>121</v>
      </c>
      <c r="M2">
        <f t="shared" si="0"/>
        <v>229</v>
      </c>
      <c r="N2">
        <f t="shared" si="0"/>
        <v>454</v>
      </c>
      <c r="O2">
        <f t="shared" si="0"/>
        <v>858</v>
      </c>
      <c r="P2">
        <f t="shared" si="0"/>
        <v>1867</v>
      </c>
      <c r="Q2">
        <f t="shared" si="0"/>
        <v>3546</v>
      </c>
      <c r="R2">
        <f>Q2/128</f>
        <v>27.703125</v>
      </c>
    </row>
    <row r="3" spans="1:18" x14ac:dyDescent="0.25">
      <c r="A3">
        <v>2</v>
      </c>
      <c r="B3" t="s">
        <v>25</v>
      </c>
      <c r="C3">
        <v>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26</v>
      </c>
      <c r="K3">
        <f t="shared" ref="K3:Q3" si="1">J4+J5</f>
        <v>76</v>
      </c>
      <c r="L3">
        <f t="shared" si="1"/>
        <v>108</v>
      </c>
      <c r="M3">
        <f t="shared" si="1"/>
        <v>225</v>
      </c>
      <c r="N3">
        <f t="shared" si="1"/>
        <v>404</v>
      </c>
      <c r="O3">
        <f t="shared" si="1"/>
        <v>1009</v>
      </c>
      <c r="P3">
        <f t="shared" si="1"/>
        <v>1679</v>
      </c>
      <c r="Q3">
        <f t="shared" si="1"/>
        <v>316</v>
      </c>
      <c r="R3">
        <f t="shared" ref="R3:R34" si="2">Q3/64</f>
        <v>4.9375</v>
      </c>
    </row>
    <row r="4" spans="1:18" x14ac:dyDescent="0.25">
      <c r="A4">
        <v>3</v>
      </c>
      <c r="B4" t="s">
        <v>26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34</v>
      </c>
      <c r="K4">
        <f t="shared" ref="K4:Q4" si="3">J6+J7</f>
        <v>39</v>
      </c>
      <c r="L4">
        <f t="shared" si="3"/>
        <v>118</v>
      </c>
      <c r="M4">
        <f t="shared" si="3"/>
        <v>204</v>
      </c>
      <c r="N4">
        <f t="shared" si="3"/>
        <v>539</v>
      </c>
      <c r="O4">
        <f t="shared" si="3"/>
        <v>783</v>
      </c>
      <c r="P4">
        <f t="shared" si="3"/>
        <v>169</v>
      </c>
      <c r="Q4">
        <f t="shared" si="3"/>
        <v>994</v>
      </c>
      <c r="R4">
        <f t="shared" si="2"/>
        <v>15.53125</v>
      </c>
    </row>
    <row r="5" spans="1:18" x14ac:dyDescent="0.25">
      <c r="A5">
        <v>4</v>
      </c>
      <c r="B5" t="s">
        <v>27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42</v>
      </c>
      <c r="K5">
        <f t="shared" ref="K5:Q5" si="4">J8+J9</f>
        <v>69</v>
      </c>
      <c r="L5">
        <f t="shared" si="4"/>
        <v>107</v>
      </c>
      <c r="M5">
        <f t="shared" si="4"/>
        <v>200</v>
      </c>
      <c r="N5">
        <f t="shared" si="4"/>
        <v>470</v>
      </c>
      <c r="O5">
        <f t="shared" si="4"/>
        <v>896</v>
      </c>
      <c r="P5">
        <f t="shared" si="4"/>
        <v>147</v>
      </c>
      <c r="Q5">
        <f t="shared" si="4"/>
        <v>108</v>
      </c>
      <c r="R5">
        <f t="shared" si="2"/>
        <v>1.6875</v>
      </c>
    </row>
    <row r="6" spans="1:18" x14ac:dyDescent="0.25">
      <c r="A6">
        <v>5</v>
      </c>
      <c r="B6" t="s">
        <v>28</v>
      </c>
      <c r="C6">
        <v>-1</v>
      </c>
      <c r="D6">
        <v>-1</v>
      </c>
      <c r="E6">
        <v>1</v>
      </c>
      <c r="F6">
        <v>-1</v>
      </c>
      <c r="G6">
        <v>-1</v>
      </c>
      <c r="H6">
        <v>-1</v>
      </c>
      <c r="I6">
        <v>-1</v>
      </c>
      <c r="J6">
        <v>18</v>
      </c>
      <c r="K6">
        <f t="shared" ref="K6:Q6" si="5">J10+J11</f>
        <v>44</v>
      </c>
      <c r="L6">
        <f t="shared" si="5"/>
        <v>104</v>
      </c>
      <c r="M6">
        <f t="shared" si="5"/>
        <v>275</v>
      </c>
      <c r="N6">
        <f t="shared" si="5"/>
        <v>410</v>
      </c>
      <c r="O6">
        <f t="shared" si="5"/>
        <v>70</v>
      </c>
      <c r="P6">
        <f t="shared" si="5"/>
        <v>555</v>
      </c>
      <c r="Q6">
        <f t="shared" si="5"/>
        <v>-134</v>
      </c>
      <c r="R6">
        <f t="shared" si="2"/>
        <v>-2.09375</v>
      </c>
    </row>
    <row r="7" spans="1:18" x14ac:dyDescent="0.25">
      <c r="A7">
        <v>6</v>
      </c>
      <c r="B7" t="s">
        <v>29</v>
      </c>
      <c r="C7">
        <v>1</v>
      </c>
      <c r="D7">
        <v>-1</v>
      </c>
      <c r="E7">
        <v>1</v>
      </c>
      <c r="F7">
        <v>-1</v>
      </c>
      <c r="G7">
        <v>-1</v>
      </c>
      <c r="H7">
        <v>-1</v>
      </c>
      <c r="I7">
        <v>-1</v>
      </c>
      <c r="J7">
        <v>21</v>
      </c>
      <c r="K7">
        <f t="shared" ref="K7:Q7" si="6">J12+J13</f>
        <v>74</v>
      </c>
      <c r="L7">
        <f t="shared" si="6"/>
        <v>100</v>
      </c>
      <c r="M7">
        <f t="shared" si="6"/>
        <v>264</v>
      </c>
      <c r="N7">
        <f t="shared" si="6"/>
        <v>373</v>
      </c>
      <c r="O7">
        <f t="shared" si="6"/>
        <v>99</v>
      </c>
      <c r="P7">
        <f t="shared" si="6"/>
        <v>439</v>
      </c>
      <c r="Q7">
        <f t="shared" si="6"/>
        <v>-36</v>
      </c>
      <c r="R7">
        <f t="shared" si="2"/>
        <v>-0.5625</v>
      </c>
    </row>
    <row r="8" spans="1:18" x14ac:dyDescent="0.25">
      <c r="A8">
        <v>7</v>
      </c>
      <c r="B8" t="s">
        <v>30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31</v>
      </c>
      <c r="K8">
        <f t="shared" ref="K8:Q8" si="7">J14+J15</f>
        <v>39</v>
      </c>
      <c r="L8">
        <f t="shared" si="7"/>
        <v>102</v>
      </c>
      <c r="M8">
        <f t="shared" si="7"/>
        <v>239</v>
      </c>
      <c r="N8">
        <f t="shared" si="7"/>
        <v>476</v>
      </c>
      <c r="O8">
        <f t="shared" si="7"/>
        <v>59</v>
      </c>
      <c r="P8">
        <f t="shared" si="7"/>
        <v>41</v>
      </c>
      <c r="Q8">
        <f t="shared" si="7"/>
        <v>-26</v>
      </c>
      <c r="R8">
        <f t="shared" si="2"/>
        <v>-0.40625</v>
      </c>
    </row>
    <row r="9" spans="1:18" x14ac:dyDescent="0.25">
      <c r="A9">
        <v>8</v>
      </c>
      <c r="B9" t="s">
        <v>31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-1</v>
      </c>
      <c r="J9">
        <v>38</v>
      </c>
      <c r="K9">
        <f t="shared" ref="K9:Q9" si="8">J16+J17</f>
        <v>68</v>
      </c>
      <c r="L9">
        <f t="shared" si="8"/>
        <v>98</v>
      </c>
      <c r="M9">
        <f t="shared" si="8"/>
        <v>231</v>
      </c>
      <c r="N9">
        <f t="shared" si="8"/>
        <v>420</v>
      </c>
      <c r="O9">
        <f t="shared" si="8"/>
        <v>88</v>
      </c>
      <c r="P9">
        <f t="shared" si="8"/>
        <v>67</v>
      </c>
      <c r="Q9">
        <f t="shared" si="8"/>
        <v>32</v>
      </c>
      <c r="R9">
        <f t="shared" si="2"/>
        <v>0.5</v>
      </c>
    </row>
    <row r="10" spans="1:18" x14ac:dyDescent="0.25">
      <c r="A10">
        <v>9</v>
      </c>
      <c r="B10" t="s">
        <v>32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19</v>
      </c>
      <c r="K10">
        <f t="shared" ref="K10:Q10" si="9">J18+J19</f>
        <v>37</v>
      </c>
      <c r="L10">
        <f t="shared" si="9"/>
        <v>147</v>
      </c>
      <c r="M10">
        <f t="shared" si="9"/>
        <v>207</v>
      </c>
      <c r="N10">
        <f t="shared" si="9"/>
        <v>46</v>
      </c>
      <c r="O10">
        <f t="shared" si="9"/>
        <v>228</v>
      </c>
      <c r="P10">
        <f t="shared" si="9"/>
        <v>-87</v>
      </c>
      <c r="Q10">
        <f t="shared" si="9"/>
        <v>-48</v>
      </c>
      <c r="R10">
        <f t="shared" si="2"/>
        <v>-0.75</v>
      </c>
    </row>
    <row r="11" spans="1:18" x14ac:dyDescent="0.25">
      <c r="A11">
        <v>10</v>
      </c>
      <c r="B11" t="s">
        <v>33</v>
      </c>
      <c r="C11">
        <v>1</v>
      </c>
      <c r="D11">
        <v>-1</v>
      </c>
      <c r="E11">
        <v>-1</v>
      </c>
      <c r="F11">
        <v>1</v>
      </c>
      <c r="G11">
        <v>-1</v>
      </c>
      <c r="H11">
        <v>-1</v>
      </c>
      <c r="I11">
        <v>-1</v>
      </c>
      <c r="J11">
        <v>25</v>
      </c>
      <c r="K11">
        <f t="shared" ref="K11:Q11" si="10">J20+J21</f>
        <v>67</v>
      </c>
      <c r="L11">
        <f t="shared" si="10"/>
        <v>128</v>
      </c>
      <c r="M11">
        <f t="shared" si="10"/>
        <v>203</v>
      </c>
      <c r="N11">
        <f t="shared" si="10"/>
        <v>24</v>
      </c>
      <c r="O11">
        <f t="shared" si="10"/>
        <v>327</v>
      </c>
      <c r="P11">
        <f t="shared" si="10"/>
        <v>-47</v>
      </c>
      <c r="Q11">
        <f t="shared" si="10"/>
        <v>-14</v>
      </c>
      <c r="R11">
        <f t="shared" si="2"/>
        <v>-0.21875</v>
      </c>
    </row>
    <row r="12" spans="1:18" x14ac:dyDescent="0.25">
      <c r="A12">
        <v>11</v>
      </c>
      <c r="B12" t="s">
        <v>34</v>
      </c>
      <c r="C12">
        <v>-1</v>
      </c>
      <c r="D12">
        <v>1</v>
      </c>
      <c r="E12">
        <v>-1</v>
      </c>
      <c r="F12">
        <v>1</v>
      </c>
      <c r="G12">
        <v>-1</v>
      </c>
      <c r="H12">
        <v>-1</v>
      </c>
      <c r="I12">
        <v>-1</v>
      </c>
      <c r="J12">
        <v>34</v>
      </c>
      <c r="K12">
        <f t="shared" ref="K12:Q12" si="11">J22+J23</f>
        <v>37</v>
      </c>
      <c r="L12">
        <f t="shared" si="11"/>
        <v>142</v>
      </c>
      <c r="M12">
        <f t="shared" si="11"/>
        <v>189</v>
      </c>
      <c r="N12">
        <f t="shared" si="11"/>
        <v>67</v>
      </c>
      <c r="O12">
        <f t="shared" si="11"/>
        <v>175</v>
      </c>
      <c r="P12">
        <f t="shared" si="11"/>
        <v>-25</v>
      </c>
      <c r="Q12">
        <f t="shared" si="11"/>
        <v>-44</v>
      </c>
      <c r="R12">
        <f t="shared" si="2"/>
        <v>-0.6875</v>
      </c>
    </row>
    <row r="13" spans="1:18" x14ac:dyDescent="0.25">
      <c r="A13">
        <v>12</v>
      </c>
      <c r="B13" t="s">
        <v>35</v>
      </c>
      <c r="C13">
        <v>1</v>
      </c>
      <c r="D13">
        <v>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40</v>
      </c>
      <c r="K13">
        <f t="shared" ref="K13:Q13" si="12">J24+J25</f>
        <v>63</v>
      </c>
      <c r="L13">
        <f t="shared" si="12"/>
        <v>122</v>
      </c>
      <c r="M13">
        <f t="shared" si="12"/>
        <v>184</v>
      </c>
      <c r="N13">
        <f t="shared" si="12"/>
        <v>32</v>
      </c>
      <c r="O13">
        <f t="shared" si="12"/>
        <v>264</v>
      </c>
      <c r="P13">
        <f t="shared" si="12"/>
        <v>-11</v>
      </c>
      <c r="Q13">
        <f t="shared" si="12"/>
        <v>-10</v>
      </c>
      <c r="R13">
        <f t="shared" si="2"/>
        <v>-0.15625</v>
      </c>
    </row>
    <row r="14" spans="1:18" x14ac:dyDescent="0.25">
      <c r="A14">
        <v>13</v>
      </c>
      <c r="B14" t="s">
        <v>36</v>
      </c>
      <c r="C14">
        <v>-1</v>
      </c>
      <c r="D14">
        <v>-1</v>
      </c>
      <c r="E14">
        <v>1</v>
      </c>
      <c r="F14">
        <v>1</v>
      </c>
      <c r="G14">
        <v>-1</v>
      </c>
      <c r="H14">
        <v>-1</v>
      </c>
      <c r="I14">
        <v>-1</v>
      </c>
      <c r="J14">
        <v>18</v>
      </c>
      <c r="K14">
        <f t="shared" ref="K14:Q14" si="13">J26+J27</f>
        <v>37</v>
      </c>
      <c r="L14">
        <f t="shared" si="13"/>
        <v>123</v>
      </c>
      <c r="M14">
        <f t="shared" si="13"/>
        <v>241</v>
      </c>
      <c r="N14">
        <f t="shared" si="13"/>
        <v>38</v>
      </c>
      <c r="O14">
        <f t="shared" si="13"/>
        <v>24</v>
      </c>
      <c r="P14">
        <f t="shared" si="13"/>
        <v>-19</v>
      </c>
      <c r="Q14">
        <f t="shared" si="13"/>
        <v>0</v>
      </c>
      <c r="R14">
        <f t="shared" si="2"/>
        <v>0</v>
      </c>
    </row>
    <row r="15" spans="1:18" x14ac:dyDescent="0.25">
      <c r="A15">
        <v>14</v>
      </c>
      <c r="B15" t="s">
        <v>37</v>
      </c>
      <c r="C15">
        <v>1</v>
      </c>
      <c r="D15">
        <v>-1</v>
      </c>
      <c r="E15">
        <v>1</v>
      </c>
      <c r="F15">
        <v>1</v>
      </c>
      <c r="G15">
        <v>-1</v>
      </c>
      <c r="H15">
        <v>-1</v>
      </c>
      <c r="I15">
        <v>-1</v>
      </c>
      <c r="J15">
        <v>21</v>
      </c>
      <c r="K15">
        <f t="shared" ref="K15:Q15" si="14">J28+J29</f>
        <v>65</v>
      </c>
      <c r="L15">
        <f t="shared" si="14"/>
        <v>116</v>
      </c>
      <c r="M15">
        <f t="shared" si="14"/>
        <v>235</v>
      </c>
      <c r="N15">
        <f t="shared" si="14"/>
        <v>21</v>
      </c>
      <c r="O15">
        <f t="shared" si="14"/>
        <v>17</v>
      </c>
      <c r="P15">
        <f t="shared" si="14"/>
        <v>-7</v>
      </c>
      <c r="Q15">
        <f t="shared" si="14"/>
        <v>2</v>
      </c>
      <c r="R15">
        <f t="shared" si="2"/>
        <v>3.125E-2</v>
      </c>
    </row>
    <row r="16" spans="1:18" x14ac:dyDescent="0.25">
      <c r="A16">
        <v>15</v>
      </c>
      <c r="B16" t="s">
        <v>38</v>
      </c>
      <c r="C16">
        <v>-1</v>
      </c>
      <c r="D16">
        <v>1</v>
      </c>
      <c r="E16">
        <v>1</v>
      </c>
      <c r="F16">
        <v>1</v>
      </c>
      <c r="G16">
        <v>-1</v>
      </c>
      <c r="H16">
        <v>-1</v>
      </c>
      <c r="I16">
        <v>-1</v>
      </c>
      <c r="J16">
        <v>31</v>
      </c>
      <c r="K16">
        <f t="shared" ref="K16:Q16" si="15">J30+J31</f>
        <v>37</v>
      </c>
      <c r="L16">
        <f t="shared" si="15"/>
        <v>120</v>
      </c>
      <c r="M16">
        <f t="shared" si="15"/>
        <v>213</v>
      </c>
      <c r="N16">
        <f t="shared" si="15"/>
        <v>56</v>
      </c>
      <c r="O16">
        <f t="shared" si="15"/>
        <v>27</v>
      </c>
      <c r="P16">
        <f t="shared" si="15"/>
        <v>11</v>
      </c>
      <c r="Q16">
        <f t="shared" si="15"/>
        <v>0</v>
      </c>
      <c r="R16">
        <f t="shared" si="2"/>
        <v>0</v>
      </c>
    </row>
    <row r="17" spans="1:18" x14ac:dyDescent="0.25">
      <c r="A17">
        <v>16</v>
      </c>
      <c r="B17" t="s">
        <v>39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37</v>
      </c>
      <c r="K17">
        <f t="shared" ref="K17:Q17" si="16">J32+J33</f>
        <v>61</v>
      </c>
      <c r="L17">
        <f t="shared" si="16"/>
        <v>111</v>
      </c>
      <c r="M17">
        <f t="shared" si="16"/>
        <v>207</v>
      </c>
      <c r="N17">
        <f t="shared" si="16"/>
        <v>32</v>
      </c>
      <c r="O17">
        <f t="shared" si="16"/>
        <v>40</v>
      </c>
      <c r="P17">
        <f t="shared" si="16"/>
        <v>21</v>
      </c>
      <c r="Q17">
        <f t="shared" si="16"/>
        <v>2</v>
      </c>
      <c r="R17">
        <f t="shared" si="2"/>
        <v>3.125E-2</v>
      </c>
    </row>
    <row r="18" spans="1:18" x14ac:dyDescent="0.25">
      <c r="A18">
        <v>17</v>
      </c>
      <c r="B18" t="s">
        <v>40</v>
      </c>
      <c r="C18">
        <v>-1</v>
      </c>
      <c r="D18">
        <v>-1</v>
      </c>
      <c r="E18">
        <v>-1</v>
      </c>
      <c r="F18">
        <v>-1</v>
      </c>
      <c r="G18">
        <v>1</v>
      </c>
      <c r="H18">
        <v>-1</v>
      </c>
      <c r="I18">
        <v>-1</v>
      </c>
      <c r="J18">
        <v>18</v>
      </c>
      <c r="K18">
        <f t="shared" ref="K18:Q18" si="17">J34+J35</f>
        <v>51</v>
      </c>
      <c r="L18">
        <f t="shared" si="17"/>
        <v>107</v>
      </c>
      <c r="M18">
        <f t="shared" si="17"/>
        <v>25</v>
      </c>
      <c r="N18">
        <f t="shared" si="17"/>
        <v>120</v>
      </c>
      <c r="O18">
        <f t="shared" si="17"/>
        <v>-32</v>
      </c>
      <c r="P18">
        <f t="shared" si="17"/>
        <v>-27</v>
      </c>
      <c r="Q18">
        <f t="shared" si="17"/>
        <v>-212</v>
      </c>
      <c r="R18">
        <f t="shared" si="2"/>
        <v>-3.3125</v>
      </c>
    </row>
    <row r="19" spans="1:18" x14ac:dyDescent="0.25">
      <c r="A19">
        <v>18</v>
      </c>
      <c r="B19" t="s">
        <v>41</v>
      </c>
      <c r="C19">
        <v>1</v>
      </c>
      <c r="D19">
        <v>-1</v>
      </c>
      <c r="E19">
        <v>-1</v>
      </c>
      <c r="F19">
        <v>-1</v>
      </c>
      <c r="G19">
        <v>1</v>
      </c>
      <c r="H19">
        <v>-1</v>
      </c>
      <c r="I19">
        <v>-1</v>
      </c>
      <c r="J19">
        <v>19</v>
      </c>
      <c r="K19">
        <f t="shared" ref="K19:Q19" si="18">J36+J37</f>
        <v>96</v>
      </c>
      <c r="L19">
        <f t="shared" si="18"/>
        <v>100</v>
      </c>
      <c r="M19">
        <f t="shared" si="18"/>
        <v>21</v>
      </c>
      <c r="N19">
        <f t="shared" si="18"/>
        <v>108</v>
      </c>
      <c r="O19">
        <f t="shared" si="18"/>
        <v>-55</v>
      </c>
      <c r="P19">
        <f t="shared" si="18"/>
        <v>-21</v>
      </c>
      <c r="Q19">
        <f t="shared" si="18"/>
        <v>-98</v>
      </c>
      <c r="R19">
        <f t="shared" si="2"/>
        <v>-1.53125</v>
      </c>
    </row>
    <row r="20" spans="1:18" x14ac:dyDescent="0.25">
      <c r="A20">
        <v>19</v>
      </c>
      <c r="B20" t="s">
        <v>42</v>
      </c>
      <c r="C20">
        <v>-1</v>
      </c>
      <c r="D20">
        <v>1</v>
      </c>
      <c r="E20">
        <v>-1</v>
      </c>
      <c r="F20">
        <v>-1</v>
      </c>
      <c r="G20">
        <v>1</v>
      </c>
      <c r="H20">
        <v>-1</v>
      </c>
      <c r="I20">
        <v>-1</v>
      </c>
      <c r="J20">
        <v>31</v>
      </c>
      <c r="K20">
        <f t="shared" ref="K20:Q20" si="19">J38+J39</f>
        <v>42</v>
      </c>
      <c r="L20">
        <f t="shared" si="19"/>
        <v>105</v>
      </c>
      <c r="M20">
        <f t="shared" si="19"/>
        <v>12</v>
      </c>
      <c r="N20">
        <f t="shared" si="19"/>
        <v>169</v>
      </c>
      <c r="O20">
        <f t="shared" si="19"/>
        <v>-19</v>
      </c>
      <c r="P20">
        <f t="shared" si="19"/>
        <v>-9</v>
      </c>
      <c r="Q20">
        <f t="shared" si="19"/>
        <v>-52</v>
      </c>
      <c r="R20">
        <f t="shared" si="2"/>
        <v>-0.8125</v>
      </c>
    </row>
    <row r="21" spans="1:18" x14ac:dyDescent="0.25">
      <c r="A21">
        <v>20</v>
      </c>
      <c r="B21" t="s">
        <v>43</v>
      </c>
      <c r="C21">
        <v>1</v>
      </c>
      <c r="D21">
        <v>1</v>
      </c>
      <c r="E21">
        <v>-1</v>
      </c>
      <c r="F21">
        <v>-1</v>
      </c>
      <c r="G21">
        <v>1</v>
      </c>
      <c r="H21">
        <v>-1</v>
      </c>
      <c r="I21">
        <v>-1</v>
      </c>
      <c r="J21">
        <v>36</v>
      </c>
      <c r="K21">
        <f t="shared" ref="K21:Q21" si="20">J40+J41</f>
        <v>86</v>
      </c>
      <c r="L21">
        <f t="shared" si="20"/>
        <v>98</v>
      </c>
      <c r="M21">
        <f t="shared" si="20"/>
        <v>12</v>
      </c>
      <c r="N21">
        <f t="shared" si="20"/>
        <v>158</v>
      </c>
      <c r="O21">
        <f t="shared" si="20"/>
        <v>-28</v>
      </c>
      <c r="P21">
        <f t="shared" si="20"/>
        <v>-5</v>
      </c>
      <c r="Q21">
        <f t="shared" si="20"/>
        <v>38</v>
      </c>
      <c r="R21">
        <f t="shared" si="2"/>
        <v>0.59375</v>
      </c>
    </row>
    <row r="22" spans="1:18" x14ac:dyDescent="0.25">
      <c r="A22">
        <v>21</v>
      </c>
      <c r="B22" t="s">
        <v>44</v>
      </c>
      <c r="C22">
        <v>-1</v>
      </c>
      <c r="D22">
        <v>-1</v>
      </c>
      <c r="E22">
        <v>1</v>
      </c>
      <c r="F22">
        <v>-1</v>
      </c>
      <c r="G22">
        <v>1</v>
      </c>
      <c r="H22">
        <v>-1</v>
      </c>
      <c r="I22">
        <v>-1</v>
      </c>
      <c r="J22">
        <v>18</v>
      </c>
      <c r="K22">
        <f t="shared" ref="K22:Q22" si="21">J42+J43</f>
        <v>51</v>
      </c>
      <c r="L22">
        <f t="shared" si="21"/>
        <v>96</v>
      </c>
      <c r="M22">
        <f t="shared" si="21"/>
        <v>35</v>
      </c>
      <c r="N22">
        <f t="shared" si="21"/>
        <v>94</v>
      </c>
      <c r="O22">
        <f t="shared" si="21"/>
        <v>-8</v>
      </c>
      <c r="P22">
        <f t="shared" si="21"/>
        <v>-23</v>
      </c>
      <c r="Q22">
        <f t="shared" si="21"/>
        <v>64</v>
      </c>
      <c r="R22">
        <f t="shared" si="2"/>
        <v>1</v>
      </c>
    </row>
    <row r="23" spans="1:18" x14ac:dyDescent="0.25">
      <c r="A23">
        <v>22</v>
      </c>
      <c r="B23" t="s">
        <v>45</v>
      </c>
      <c r="C23">
        <v>1</v>
      </c>
      <c r="D23">
        <v>-1</v>
      </c>
      <c r="E23">
        <v>1</v>
      </c>
      <c r="F23">
        <v>-1</v>
      </c>
      <c r="G23">
        <v>1</v>
      </c>
      <c r="H23">
        <v>-1</v>
      </c>
      <c r="I23">
        <v>-1</v>
      </c>
      <c r="J23">
        <v>19</v>
      </c>
      <c r="K23">
        <f t="shared" ref="K23:Q23" si="22">J44+J45</f>
        <v>91</v>
      </c>
      <c r="L23">
        <f t="shared" si="22"/>
        <v>93</v>
      </c>
      <c r="M23">
        <f t="shared" si="22"/>
        <v>32</v>
      </c>
      <c r="N23">
        <f t="shared" si="22"/>
        <v>81</v>
      </c>
      <c r="O23">
        <f t="shared" si="22"/>
        <v>-17</v>
      </c>
      <c r="P23">
        <f t="shared" si="22"/>
        <v>-21</v>
      </c>
      <c r="Q23">
        <f t="shared" si="22"/>
        <v>34</v>
      </c>
      <c r="R23">
        <f t="shared" si="2"/>
        <v>0.53125</v>
      </c>
    </row>
    <row r="24" spans="1:18" x14ac:dyDescent="0.25">
      <c r="A24">
        <v>23</v>
      </c>
      <c r="B24" t="s">
        <v>46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29</v>
      </c>
      <c r="K24">
        <f t="shared" ref="K24:Q24" si="23">J46+J47</f>
        <v>41</v>
      </c>
      <c r="L24">
        <f t="shared" si="23"/>
        <v>93</v>
      </c>
      <c r="M24">
        <f t="shared" si="23"/>
        <v>17</v>
      </c>
      <c r="N24">
        <f t="shared" si="23"/>
        <v>140</v>
      </c>
      <c r="O24">
        <f t="shared" si="23"/>
        <v>-7</v>
      </c>
      <c r="P24">
        <f t="shared" si="23"/>
        <v>-5</v>
      </c>
      <c r="Q24">
        <f t="shared" si="23"/>
        <v>-20</v>
      </c>
      <c r="R24">
        <f t="shared" si="2"/>
        <v>-0.3125</v>
      </c>
    </row>
    <row r="25" spans="1:18" x14ac:dyDescent="0.25">
      <c r="A25">
        <v>24</v>
      </c>
      <c r="B25"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34</v>
      </c>
      <c r="K25">
        <f t="shared" ref="K25:Q25" si="24">J48+J49</f>
        <v>81</v>
      </c>
      <c r="L25">
        <f t="shared" si="24"/>
        <v>91</v>
      </c>
      <c r="M25">
        <f t="shared" si="24"/>
        <v>15</v>
      </c>
      <c r="N25">
        <f t="shared" si="24"/>
        <v>124</v>
      </c>
      <c r="O25">
        <f t="shared" si="24"/>
        <v>-4</v>
      </c>
      <c r="P25">
        <f t="shared" si="24"/>
        <v>-5</v>
      </c>
      <c r="Q25">
        <f t="shared" si="24"/>
        <v>-26</v>
      </c>
      <c r="R25">
        <f t="shared" si="2"/>
        <v>-0.40625</v>
      </c>
    </row>
    <row r="26" spans="1:18" x14ac:dyDescent="0.25">
      <c r="A26">
        <v>25</v>
      </c>
      <c r="B26" t="s">
        <v>48</v>
      </c>
      <c r="C26">
        <v>-1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18</v>
      </c>
      <c r="K26">
        <f t="shared" ref="K26:Q26" si="25">J50+J51</f>
        <v>40</v>
      </c>
      <c r="L26">
        <f t="shared" si="25"/>
        <v>126</v>
      </c>
      <c r="M26">
        <f t="shared" si="25"/>
        <v>19</v>
      </c>
      <c r="N26">
        <f t="shared" si="25"/>
        <v>8</v>
      </c>
      <c r="O26">
        <f t="shared" si="25"/>
        <v>-10</v>
      </c>
      <c r="P26">
        <f t="shared" si="25"/>
        <v>-1</v>
      </c>
      <c r="Q26">
        <f t="shared" si="25"/>
        <v>2</v>
      </c>
      <c r="R26">
        <f t="shared" si="2"/>
        <v>3.125E-2</v>
      </c>
    </row>
    <row r="27" spans="1:18" x14ac:dyDescent="0.25">
      <c r="A27">
        <v>26</v>
      </c>
      <c r="B27" t="s">
        <v>49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19</v>
      </c>
      <c r="K27">
        <f t="shared" ref="K27:Q27" si="26">J52+J53</f>
        <v>83</v>
      </c>
      <c r="L27">
        <f t="shared" si="26"/>
        <v>115</v>
      </c>
      <c r="M27">
        <f t="shared" si="26"/>
        <v>19</v>
      </c>
      <c r="N27">
        <f t="shared" si="26"/>
        <v>16</v>
      </c>
      <c r="O27">
        <f t="shared" si="26"/>
        <v>-9</v>
      </c>
      <c r="P27">
        <f t="shared" si="26"/>
        <v>1</v>
      </c>
      <c r="Q27">
        <f t="shared" si="26"/>
        <v>4</v>
      </c>
      <c r="R27">
        <f t="shared" si="2"/>
        <v>6.25E-2</v>
      </c>
    </row>
    <row r="28" spans="1:18" x14ac:dyDescent="0.25">
      <c r="A28">
        <v>27</v>
      </c>
      <c r="B28" t="s">
        <v>50</v>
      </c>
      <c r="C28">
        <v>-1</v>
      </c>
      <c r="D28">
        <v>1</v>
      </c>
      <c r="E28">
        <v>-1</v>
      </c>
      <c r="F28">
        <v>1</v>
      </c>
      <c r="G28">
        <v>1</v>
      </c>
      <c r="H28">
        <v>-1</v>
      </c>
      <c r="I28">
        <v>-1</v>
      </c>
      <c r="J28">
        <v>30</v>
      </c>
      <c r="K28">
        <f t="shared" ref="K28:Q28" si="27">J54+J55</f>
        <v>38</v>
      </c>
      <c r="L28">
        <f t="shared" si="27"/>
        <v>123</v>
      </c>
      <c r="M28">
        <f t="shared" si="27"/>
        <v>11</v>
      </c>
      <c r="N28">
        <f t="shared" si="27"/>
        <v>1</v>
      </c>
      <c r="O28">
        <f t="shared" si="27"/>
        <v>-3</v>
      </c>
      <c r="P28">
        <f t="shared" si="27"/>
        <v>1</v>
      </c>
      <c r="Q28">
        <f t="shared" si="27"/>
        <v>-2</v>
      </c>
      <c r="R28">
        <f t="shared" si="2"/>
        <v>-3.125E-2</v>
      </c>
    </row>
    <row r="29" spans="1:18" x14ac:dyDescent="0.25">
      <c r="A29">
        <v>28</v>
      </c>
      <c r="B29" t="s">
        <v>51</v>
      </c>
      <c r="C29">
        <v>1</v>
      </c>
      <c r="D29">
        <v>1</v>
      </c>
      <c r="E29">
        <v>-1</v>
      </c>
      <c r="F29">
        <v>1</v>
      </c>
      <c r="G29">
        <v>1</v>
      </c>
      <c r="H29">
        <v>-1</v>
      </c>
      <c r="I29">
        <v>-1</v>
      </c>
      <c r="J29">
        <v>35</v>
      </c>
      <c r="K29">
        <f t="shared" ref="K29:Q29" si="28">J56+J57</f>
        <v>78</v>
      </c>
      <c r="L29">
        <f t="shared" si="28"/>
        <v>112</v>
      </c>
      <c r="M29">
        <f t="shared" si="28"/>
        <v>10</v>
      </c>
      <c r="N29">
        <f t="shared" si="28"/>
        <v>16</v>
      </c>
      <c r="O29">
        <f t="shared" si="28"/>
        <v>-4</v>
      </c>
      <c r="P29">
        <f t="shared" si="28"/>
        <v>1</v>
      </c>
      <c r="Q29">
        <f t="shared" si="28"/>
        <v>0</v>
      </c>
      <c r="R29">
        <f t="shared" si="2"/>
        <v>0</v>
      </c>
    </row>
    <row r="30" spans="1:18" x14ac:dyDescent="0.25">
      <c r="A30">
        <v>29</v>
      </c>
      <c r="B30" t="s">
        <v>52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18</v>
      </c>
      <c r="K30">
        <f t="shared" ref="K30:Q30" si="29">J58+J59</f>
        <v>40</v>
      </c>
      <c r="L30">
        <f t="shared" si="29"/>
        <v>108</v>
      </c>
      <c r="M30">
        <f t="shared" si="29"/>
        <v>29</v>
      </c>
      <c r="N30">
        <f t="shared" si="29"/>
        <v>10</v>
      </c>
      <c r="O30">
        <f t="shared" si="29"/>
        <v>6</v>
      </c>
      <c r="P30">
        <f t="shared" si="29"/>
        <v>-1</v>
      </c>
      <c r="Q30">
        <f t="shared" si="29"/>
        <v>-2</v>
      </c>
      <c r="R30">
        <f t="shared" si="2"/>
        <v>-3.125E-2</v>
      </c>
    </row>
    <row r="31" spans="1:18" x14ac:dyDescent="0.25">
      <c r="A31">
        <v>30</v>
      </c>
      <c r="B31" t="s">
        <v>53</v>
      </c>
      <c r="C31">
        <v>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19</v>
      </c>
      <c r="K31">
        <f t="shared" ref="K31:Q31" si="30">J60+J61</f>
        <v>80</v>
      </c>
      <c r="L31">
        <f t="shared" si="30"/>
        <v>105</v>
      </c>
      <c r="M31">
        <f t="shared" si="30"/>
        <v>27</v>
      </c>
      <c r="N31">
        <f t="shared" si="30"/>
        <v>17</v>
      </c>
      <c r="O31">
        <f t="shared" si="30"/>
        <v>5</v>
      </c>
      <c r="P31">
        <f t="shared" si="30"/>
        <v>1</v>
      </c>
      <c r="Q31">
        <f t="shared" si="30"/>
        <v>0</v>
      </c>
      <c r="R31">
        <f t="shared" si="2"/>
        <v>0</v>
      </c>
    </row>
    <row r="32" spans="1:18" x14ac:dyDescent="0.25">
      <c r="A32">
        <v>31</v>
      </c>
      <c r="B32" t="s">
        <v>54</v>
      </c>
      <c r="C32">
        <v>-1</v>
      </c>
      <c r="D32">
        <v>1</v>
      </c>
      <c r="E32">
        <v>1</v>
      </c>
      <c r="F32">
        <v>1</v>
      </c>
      <c r="G32">
        <v>1</v>
      </c>
      <c r="H32">
        <v>-1</v>
      </c>
      <c r="I32">
        <v>-1</v>
      </c>
      <c r="J32">
        <v>28</v>
      </c>
      <c r="K32">
        <f t="shared" ref="K32:Q32" si="31">J62+J63</f>
        <v>38</v>
      </c>
      <c r="L32">
        <f t="shared" si="31"/>
        <v>105</v>
      </c>
      <c r="M32">
        <f t="shared" si="31"/>
        <v>17</v>
      </c>
      <c r="N32">
        <f t="shared" si="31"/>
        <v>16</v>
      </c>
      <c r="O32">
        <f t="shared" si="31"/>
        <v>9</v>
      </c>
      <c r="P32">
        <f t="shared" si="31"/>
        <v>1</v>
      </c>
      <c r="Q32">
        <f t="shared" si="31"/>
        <v>-2</v>
      </c>
      <c r="R32">
        <f t="shared" si="2"/>
        <v>-3.125E-2</v>
      </c>
    </row>
    <row r="33" spans="1:18" x14ac:dyDescent="0.25">
      <c r="A33">
        <v>32</v>
      </c>
      <c r="B33" t="s">
        <v>55</v>
      </c>
      <c r="C33">
        <v>1</v>
      </c>
      <c r="D33">
        <v>1</v>
      </c>
      <c r="E33">
        <v>1</v>
      </c>
      <c r="F33">
        <v>1</v>
      </c>
      <c r="G33">
        <v>1</v>
      </c>
      <c r="H33">
        <v>-1</v>
      </c>
      <c r="I33">
        <v>-1</v>
      </c>
      <c r="J33">
        <v>33</v>
      </c>
      <c r="K33">
        <f t="shared" ref="K33:Q33" si="32">J64+J65</f>
        <v>73</v>
      </c>
      <c r="L33">
        <f t="shared" si="32"/>
        <v>102</v>
      </c>
      <c r="M33">
        <f t="shared" si="32"/>
        <v>15</v>
      </c>
      <c r="N33">
        <f t="shared" si="32"/>
        <v>24</v>
      </c>
      <c r="O33">
        <f t="shared" si="32"/>
        <v>12</v>
      </c>
      <c r="P33">
        <f t="shared" si="32"/>
        <v>1</v>
      </c>
      <c r="Q33">
        <f t="shared" si="32"/>
        <v>0</v>
      </c>
      <c r="R33">
        <f t="shared" si="2"/>
        <v>0</v>
      </c>
    </row>
    <row r="34" spans="1:18" x14ac:dyDescent="0.25">
      <c r="A34">
        <v>33</v>
      </c>
      <c r="B34" t="s">
        <v>56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1</v>
      </c>
      <c r="I34">
        <v>-1</v>
      </c>
      <c r="J34">
        <v>20</v>
      </c>
      <c r="K34">
        <f t="shared" ref="K34:Q34" si="33">J66+J67</f>
        <v>41</v>
      </c>
      <c r="L34">
        <f t="shared" si="33"/>
        <v>15</v>
      </c>
      <c r="M34">
        <f t="shared" si="33"/>
        <v>61</v>
      </c>
      <c r="N34">
        <f t="shared" si="33"/>
        <v>-24</v>
      </c>
      <c r="O34">
        <f t="shared" si="33"/>
        <v>-8</v>
      </c>
      <c r="P34">
        <f t="shared" si="33"/>
        <v>-119</v>
      </c>
      <c r="Q34">
        <f t="shared" si="33"/>
        <v>264</v>
      </c>
      <c r="R34">
        <f t="shared" si="2"/>
        <v>4.125</v>
      </c>
    </row>
    <row r="35" spans="1:18" x14ac:dyDescent="0.25">
      <c r="A35">
        <v>34</v>
      </c>
      <c r="B35" t="s">
        <v>57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I35">
        <v>-1</v>
      </c>
      <c r="J35">
        <v>31</v>
      </c>
      <c r="K35">
        <f t="shared" ref="K35:Q35" si="34">J68+J69</f>
        <v>66</v>
      </c>
      <c r="L35">
        <f t="shared" si="34"/>
        <v>10</v>
      </c>
      <c r="M35">
        <f t="shared" si="34"/>
        <v>59</v>
      </c>
      <c r="N35">
        <f t="shared" si="34"/>
        <v>-8</v>
      </c>
      <c r="O35">
        <f t="shared" si="34"/>
        <v>-19</v>
      </c>
      <c r="P35">
        <f t="shared" si="34"/>
        <v>-93</v>
      </c>
      <c r="Q35">
        <f t="shared" si="34"/>
        <v>58</v>
      </c>
      <c r="R35">
        <f t="shared" ref="R35:R66" si="35">Q35/64</f>
        <v>0.90625</v>
      </c>
    </row>
    <row r="36" spans="1:18" x14ac:dyDescent="0.25">
      <c r="A36">
        <v>35</v>
      </c>
      <c r="B36" t="s">
        <v>58</v>
      </c>
      <c r="C36">
        <v>-1</v>
      </c>
      <c r="D36">
        <v>1</v>
      </c>
      <c r="E36">
        <v>-1</v>
      </c>
      <c r="F36">
        <v>-1</v>
      </c>
      <c r="G36">
        <v>-1</v>
      </c>
      <c r="H36">
        <v>1</v>
      </c>
      <c r="I36">
        <v>-1</v>
      </c>
      <c r="J36">
        <v>43</v>
      </c>
      <c r="K36">
        <f t="shared" ref="K36:Q36" si="36">J70+J71</f>
        <v>38</v>
      </c>
      <c r="L36">
        <f t="shared" si="36"/>
        <v>12</v>
      </c>
      <c r="M36">
        <f t="shared" si="36"/>
        <v>56</v>
      </c>
      <c r="N36">
        <f t="shared" si="36"/>
        <v>-39</v>
      </c>
      <c r="O36">
        <f t="shared" si="36"/>
        <v>-9</v>
      </c>
      <c r="P36">
        <f t="shared" si="36"/>
        <v>-57</v>
      </c>
      <c r="Q36">
        <f t="shared" si="36"/>
        <v>188</v>
      </c>
      <c r="R36">
        <f t="shared" si="35"/>
        <v>2.9375</v>
      </c>
    </row>
    <row r="37" spans="1:18" x14ac:dyDescent="0.25">
      <c r="A37">
        <v>36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-1</v>
      </c>
      <c r="J37">
        <v>53</v>
      </c>
      <c r="K37">
        <f t="shared" ref="K37:Q37" si="37">J72+J73</f>
        <v>62</v>
      </c>
      <c r="L37">
        <f t="shared" si="37"/>
        <v>9</v>
      </c>
      <c r="M37">
        <f t="shared" si="37"/>
        <v>52</v>
      </c>
      <c r="N37">
        <f t="shared" si="37"/>
        <v>-16</v>
      </c>
      <c r="O37">
        <f t="shared" si="37"/>
        <v>-12</v>
      </c>
      <c r="P37">
        <f t="shared" si="37"/>
        <v>-41</v>
      </c>
      <c r="Q37">
        <f t="shared" si="37"/>
        <v>6</v>
      </c>
      <c r="R37">
        <f t="shared" si="35"/>
        <v>9.375E-2</v>
      </c>
    </row>
    <row r="38" spans="1:18" x14ac:dyDescent="0.25">
      <c r="A38">
        <v>37</v>
      </c>
      <c r="B38" t="s">
        <v>60</v>
      </c>
      <c r="C38">
        <v>-1</v>
      </c>
      <c r="D38">
        <v>-1</v>
      </c>
      <c r="E38">
        <v>1</v>
      </c>
      <c r="F38">
        <v>-1</v>
      </c>
      <c r="G38">
        <v>-1</v>
      </c>
      <c r="H38">
        <v>1</v>
      </c>
      <c r="I38">
        <v>-1</v>
      </c>
      <c r="J38">
        <v>18</v>
      </c>
      <c r="K38">
        <f t="shared" ref="K38:Q38" si="38">J74+J75</f>
        <v>41</v>
      </c>
      <c r="L38">
        <f t="shared" si="38"/>
        <v>6</v>
      </c>
      <c r="M38">
        <f t="shared" si="38"/>
        <v>89</v>
      </c>
      <c r="N38">
        <f t="shared" si="38"/>
        <v>-14</v>
      </c>
      <c r="O38">
        <f t="shared" si="38"/>
        <v>-4</v>
      </c>
      <c r="P38">
        <f t="shared" si="38"/>
        <v>-23</v>
      </c>
      <c r="Q38">
        <f t="shared" si="38"/>
        <v>-32</v>
      </c>
      <c r="R38">
        <f t="shared" si="35"/>
        <v>-0.5</v>
      </c>
    </row>
    <row r="39" spans="1:18" x14ac:dyDescent="0.25">
      <c r="A39">
        <v>38</v>
      </c>
      <c r="B39" t="s">
        <v>61</v>
      </c>
      <c r="C39">
        <v>1</v>
      </c>
      <c r="D39">
        <v>-1</v>
      </c>
      <c r="E39">
        <v>1</v>
      </c>
      <c r="F39">
        <v>-1</v>
      </c>
      <c r="G39">
        <v>-1</v>
      </c>
      <c r="H39">
        <v>1</v>
      </c>
      <c r="I39">
        <v>-1</v>
      </c>
      <c r="J39">
        <v>24</v>
      </c>
      <c r="K39">
        <f t="shared" ref="K39:Q39" si="39">J76+J77</f>
        <v>64</v>
      </c>
      <c r="L39">
        <f t="shared" si="39"/>
        <v>6</v>
      </c>
      <c r="M39">
        <f t="shared" si="39"/>
        <v>80</v>
      </c>
      <c r="N39">
        <f t="shared" si="39"/>
        <v>-5</v>
      </c>
      <c r="O39">
        <f t="shared" si="39"/>
        <v>-5</v>
      </c>
      <c r="P39">
        <f t="shared" si="39"/>
        <v>-29</v>
      </c>
      <c r="Q39">
        <f t="shared" si="39"/>
        <v>-6</v>
      </c>
      <c r="R39">
        <f t="shared" si="35"/>
        <v>-9.375E-2</v>
      </c>
    </row>
    <row r="40" spans="1:18" x14ac:dyDescent="0.25">
      <c r="A40">
        <v>39</v>
      </c>
      <c r="B40" t="s">
        <v>62</v>
      </c>
      <c r="C40">
        <v>-1</v>
      </c>
      <c r="D40">
        <v>1</v>
      </c>
      <c r="E40">
        <v>1</v>
      </c>
      <c r="F40">
        <v>-1</v>
      </c>
      <c r="G40">
        <v>-1</v>
      </c>
      <c r="H40">
        <v>1</v>
      </c>
      <c r="I40">
        <v>-1</v>
      </c>
      <c r="J40">
        <v>39</v>
      </c>
      <c r="K40">
        <f t="shared" ref="K40:Q40" si="40">J78+J79</f>
        <v>38</v>
      </c>
      <c r="L40">
        <f t="shared" si="40"/>
        <v>6</v>
      </c>
      <c r="M40">
        <f t="shared" si="40"/>
        <v>83</v>
      </c>
      <c r="N40">
        <f t="shared" si="40"/>
        <v>-22</v>
      </c>
      <c r="O40">
        <f t="shared" si="40"/>
        <v>-1</v>
      </c>
      <c r="P40">
        <f t="shared" si="40"/>
        <v>23</v>
      </c>
      <c r="Q40">
        <f t="shared" si="40"/>
        <v>0</v>
      </c>
      <c r="R40">
        <f t="shared" si="35"/>
        <v>0</v>
      </c>
    </row>
    <row r="41" spans="1:18" x14ac:dyDescent="0.25">
      <c r="A41">
        <v>40</v>
      </c>
      <c r="B41" t="s">
        <v>63</v>
      </c>
      <c r="C41">
        <v>1</v>
      </c>
      <c r="D41">
        <v>1</v>
      </c>
      <c r="E41">
        <v>1</v>
      </c>
      <c r="F41">
        <v>-1</v>
      </c>
      <c r="G41">
        <v>-1</v>
      </c>
      <c r="H41">
        <v>1</v>
      </c>
      <c r="I41">
        <v>-1</v>
      </c>
      <c r="J41">
        <v>47</v>
      </c>
      <c r="K41">
        <f t="shared" ref="K41:Q41" si="41">J80+J81</f>
        <v>60</v>
      </c>
      <c r="L41">
        <f t="shared" si="41"/>
        <v>6</v>
      </c>
      <c r="M41">
        <f t="shared" si="41"/>
        <v>75</v>
      </c>
      <c r="N41">
        <f t="shared" si="41"/>
        <v>-6</v>
      </c>
      <c r="O41">
        <f t="shared" si="41"/>
        <v>-4</v>
      </c>
      <c r="P41">
        <f t="shared" si="41"/>
        <v>15</v>
      </c>
      <c r="Q41">
        <f t="shared" si="41"/>
        <v>2</v>
      </c>
      <c r="R41">
        <f t="shared" si="35"/>
        <v>3.125E-2</v>
      </c>
    </row>
    <row r="42" spans="1:18" x14ac:dyDescent="0.25">
      <c r="A42">
        <v>41</v>
      </c>
      <c r="B42" t="s">
        <v>64</v>
      </c>
      <c r="C42">
        <v>-1</v>
      </c>
      <c r="D42">
        <v>-1</v>
      </c>
      <c r="E42">
        <v>-1</v>
      </c>
      <c r="F42">
        <v>1</v>
      </c>
      <c r="G42">
        <v>-1</v>
      </c>
      <c r="H42">
        <v>1</v>
      </c>
      <c r="I42">
        <v>-1</v>
      </c>
      <c r="J42">
        <v>20</v>
      </c>
      <c r="K42">
        <f t="shared" ref="K42:Q42" si="42">J82+J83</f>
        <v>37</v>
      </c>
      <c r="L42">
        <f t="shared" si="42"/>
        <v>21</v>
      </c>
      <c r="M42">
        <f t="shared" si="42"/>
        <v>49</v>
      </c>
      <c r="N42">
        <f t="shared" si="42"/>
        <v>-8</v>
      </c>
      <c r="O42">
        <f t="shared" si="42"/>
        <v>-6</v>
      </c>
      <c r="P42">
        <f t="shared" si="42"/>
        <v>39</v>
      </c>
      <c r="Q42">
        <f t="shared" si="42"/>
        <v>-14</v>
      </c>
      <c r="R42">
        <f t="shared" si="35"/>
        <v>-0.21875</v>
      </c>
    </row>
    <row r="43" spans="1:18" x14ac:dyDescent="0.25">
      <c r="A43">
        <v>42</v>
      </c>
      <c r="B43" t="s">
        <v>65</v>
      </c>
      <c r="C43">
        <v>1</v>
      </c>
      <c r="D43">
        <v>-1</v>
      </c>
      <c r="E43">
        <v>-1</v>
      </c>
      <c r="F43">
        <v>1</v>
      </c>
      <c r="G43">
        <v>-1</v>
      </c>
      <c r="H43">
        <v>1</v>
      </c>
      <c r="I43">
        <v>-1</v>
      </c>
      <c r="J43">
        <v>31</v>
      </c>
      <c r="K43">
        <f t="shared" ref="K43:Q43" si="43">J84+J85</f>
        <v>59</v>
      </c>
      <c r="L43">
        <f t="shared" si="43"/>
        <v>14</v>
      </c>
      <c r="M43">
        <f t="shared" si="43"/>
        <v>45</v>
      </c>
      <c r="N43">
        <f t="shared" si="43"/>
        <v>0</v>
      </c>
      <c r="O43">
        <f t="shared" si="43"/>
        <v>-17</v>
      </c>
      <c r="P43">
        <f t="shared" si="43"/>
        <v>25</v>
      </c>
      <c r="Q43">
        <f t="shared" si="43"/>
        <v>-4</v>
      </c>
      <c r="R43">
        <f t="shared" si="35"/>
        <v>-6.25E-2</v>
      </c>
    </row>
    <row r="44" spans="1:18" x14ac:dyDescent="0.25">
      <c r="A44">
        <v>43</v>
      </c>
      <c r="B44" t="s">
        <v>66</v>
      </c>
      <c r="C44">
        <v>-1</v>
      </c>
      <c r="D44">
        <v>1</v>
      </c>
      <c r="E44">
        <v>-1</v>
      </c>
      <c r="F44">
        <v>1</v>
      </c>
      <c r="G44">
        <v>-1</v>
      </c>
      <c r="H44">
        <v>1</v>
      </c>
      <c r="I44">
        <v>-1</v>
      </c>
      <c r="J44">
        <v>41</v>
      </c>
      <c r="K44">
        <f t="shared" ref="K44:Q44" si="44">J86+J87</f>
        <v>36</v>
      </c>
      <c r="L44">
        <f t="shared" si="44"/>
        <v>20</v>
      </c>
      <c r="M44">
        <f t="shared" si="44"/>
        <v>43</v>
      </c>
      <c r="N44">
        <f t="shared" si="44"/>
        <v>-15</v>
      </c>
      <c r="O44">
        <f t="shared" si="44"/>
        <v>-9</v>
      </c>
      <c r="P44">
        <f t="shared" si="44"/>
        <v>21</v>
      </c>
      <c r="Q44">
        <f t="shared" si="44"/>
        <v>-14</v>
      </c>
      <c r="R44">
        <f t="shared" si="35"/>
        <v>-0.21875</v>
      </c>
    </row>
    <row r="45" spans="1:18" x14ac:dyDescent="0.25">
      <c r="A45">
        <v>44</v>
      </c>
      <c r="B45" t="s">
        <v>67</v>
      </c>
      <c r="C45">
        <v>1</v>
      </c>
      <c r="D45">
        <v>1</v>
      </c>
      <c r="E45">
        <v>-1</v>
      </c>
      <c r="F45">
        <v>1</v>
      </c>
      <c r="G45">
        <v>-1</v>
      </c>
      <c r="H45">
        <v>1</v>
      </c>
      <c r="I45">
        <v>-1</v>
      </c>
      <c r="J45">
        <v>50</v>
      </c>
      <c r="K45">
        <f t="shared" ref="K45:Q45" si="45">J88+J89</f>
        <v>57</v>
      </c>
      <c r="L45">
        <f t="shared" si="45"/>
        <v>12</v>
      </c>
      <c r="M45">
        <f t="shared" si="45"/>
        <v>38</v>
      </c>
      <c r="N45">
        <f t="shared" si="45"/>
        <v>-2</v>
      </c>
      <c r="O45">
        <f t="shared" si="45"/>
        <v>-12</v>
      </c>
      <c r="P45">
        <f t="shared" si="45"/>
        <v>13</v>
      </c>
      <c r="Q45">
        <f t="shared" si="45"/>
        <v>-4</v>
      </c>
      <c r="R45">
        <f t="shared" si="35"/>
        <v>-6.25E-2</v>
      </c>
    </row>
    <row r="46" spans="1:18" x14ac:dyDescent="0.25">
      <c r="A46">
        <v>45</v>
      </c>
      <c r="B46" t="s">
        <v>68</v>
      </c>
      <c r="C46">
        <v>-1</v>
      </c>
      <c r="D46">
        <v>-1</v>
      </c>
      <c r="E46">
        <v>1</v>
      </c>
      <c r="F46">
        <v>1</v>
      </c>
      <c r="G46">
        <v>-1</v>
      </c>
      <c r="H46">
        <v>1</v>
      </c>
      <c r="I46">
        <v>-1</v>
      </c>
      <c r="J46">
        <v>18</v>
      </c>
      <c r="K46">
        <f t="shared" ref="K46:Q46" si="46">J90+J91</f>
        <v>37</v>
      </c>
      <c r="L46">
        <f t="shared" si="46"/>
        <v>9</v>
      </c>
      <c r="M46">
        <f t="shared" si="46"/>
        <v>73</v>
      </c>
      <c r="N46">
        <f t="shared" si="46"/>
        <v>-6</v>
      </c>
      <c r="O46">
        <f t="shared" si="46"/>
        <v>-2</v>
      </c>
      <c r="P46">
        <f t="shared" si="46"/>
        <v>-13</v>
      </c>
      <c r="Q46">
        <f t="shared" si="46"/>
        <v>-6</v>
      </c>
      <c r="R46">
        <f t="shared" si="35"/>
        <v>-9.375E-2</v>
      </c>
    </row>
    <row r="47" spans="1:18" x14ac:dyDescent="0.25">
      <c r="A47">
        <v>46</v>
      </c>
      <c r="B47" t="s">
        <v>69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23</v>
      </c>
      <c r="K47">
        <f t="shared" ref="K47:Q47" si="47">J92+J93</f>
        <v>56</v>
      </c>
      <c r="L47">
        <f t="shared" si="47"/>
        <v>8</v>
      </c>
      <c r="M47">
        <f t="shared" si="47"/>
        <v>67</v>
      </c>
      <c r="N47">
        <f t="shared" si="47"/>
        <v>-1</v>
      </c>
      <c r="O47">
        <f t="shared" si="47"/>
        <v>-3</v>
      </c>
      <c r="P47">
        <f t="shared" si="47"/>
        <v>-7</v>
      </c>
      <c r="Q47">
        <f t="shared" si="47"/>
        <v>-4</v>
      </c>
      <c r="R47">
        <f t="shared" si="35"/>
        <v>-6.25E-2</v>
      </c>
    </row>
    <row r="48" spans="1:18" x14ac:dyDescent="0.25">
      <c r="A48">
        <v>47</v>
      </c>
      <c r="B48" t="s">
        <v>70</v>
      </c>
      <c r="C48">
        <v>-1</v>
      </c>
      <c r="D48">
        <v>1</v>
      </c>
      <c r="E48">
        <v>1</v>
      </c>
      <c r="F48">
        <v>1</v>
      </c>
      <c r="G48">
        <v>-1</v>
      </c>
      <c r="H48">
        <v>1</v>
      </c>
      <c r="I48">
        <v>-1</v>
      </c>
      <c r="J48">
        <v>37</v>
      </c>
      <c r="K48">
        <f t="shared" ref="K48:Q48" si="48">J94+J95</f>
        <v>36</v>
      </c>
      <c r="L48">
        <f t="shared" si="48"/>
        <v>8</v>
      </c>
      <c r="M48">
        <f t="shared" si="48"/>
        <v>65</v>
      </c>
      <c r="N48">
        <f t="shared" si="48"/>
        <v>-6</v>
      </c>
      <c r="O48">
        <f t="shared" si="48"/>
        <v>-1</v>
      </c>
      <c r="P48">
        <f t="shared" si="48"/>
        <v>-15</v>
      </c>
      <c r="Q48">
        <f t="shared" si="48"/>
        <v>-2</v>
      </c>
      <c r="R48">
        <f t="shared" si="35"/>
        <v>-3.125E-2</v>
      </c>
    </row>
    <row r="49" spans="1:18" x14ac:dyDescent="0.25">
      <c r="A49">
        <v>48</v>
      </c>
      <c r="B49" t="s">
        <v>71</v>
      </c>
      <c r="C49">
        <v>1</v>
      </c>
      <c r="D49">
        <v>1</v>
      </c>
      <c r="E49">
        <v>1</v>
      </c>
      <c r="F49">
        <v>1</v>
      </c>
      <c r="G49">
        <v>-1</v>
      </c>
      <c r="H49">
        <v>1</v>
      </c>
      <c r="I49">
        <v>-1</v>
      </c>
      <c r="J49">
        <v>44</v>
      </c>
      <c r="K49">
        <f t="shared" ref="K49:Q49" si="49">J96+J97</f>
        <v>55</v>
      </c>
      <c r="L49">
        <f t="shared" si="49"/>
        <v>7</v>
      </c>
      <c r="M49">
        <f t="shared" si="49"/>
        <v>59</v>
      </c>
      <c r="N49">
        <f t="shared" si="49"/>
        <v>2</v>
      </c>
      <c r="O49">
        <f t="shared" si="49"/>
        <v>-4</v>
      </c>
      <c r="P49">
        <f t="shared" si="49"/>
        <v>-11</v>
      </c>
      <c r="Q49">
        <f t="shared" si="49"/>
        <v>0</v>
      </c>
      <c r="R49">
        <f t="shared" si="35"/>
        <v>0</v>
      </c>
    </row>
    <row r="50" spans="1:18" x14ac:dyDescent="0.25">
      <c r="A50">
        <v>49</v>
      </c>
      <c r="B50" t="s">
        <v>72</v>
      </c>
      <c r="C50">
        <v>-1</v>
      </c>
      <c r="D50">
        <v>-1</v>
      </c>
      <c r="E50">
        <v>-1</v>
      </c>
      <c r="F50">
        <v>-1</v>
      </c>
      <c r="G50">
        <v>1</v>
      </c>
      <c r="H50">
        <v>1</v>
      </c>
      <c r="I50">
        <v>-1</v>
      </c>
      <c r="J50">
        <v>19</v>
      </c>
      <c r="K50">
        <f t="shared" ref="K50:Q50" si="50">J98+J99</f>
        <v>45</v>
      </c>
      <c r="L50">
        <f t="shared" si="50"/>
        <v>11</v>
      </c>
      <c r="M50">
        <f t="shared" si="50"/>
        <v>5</v>
      </c>
      <c r="N50">
        <f t="shared" si="50"/>
        <v>-2</v>
      </c>
      <c r="O50">
        <f t="shared" si="50"/>
        <v>2</v>
      </c>
      <c r="P50">
        <f t="shared" si="50"/>
        <v>3</v>
      </c>
      <c r="Q50">
        <f t="shared" si="50"/>
        <v>-38</v>
      </c>
      <c r="R50">
        <f t="shared" si="35"/>
        <v>-0.59375</v>
      </c>
    </row>
    <row r="51" spans="1:18" x14ac:dyDescent="0.25">
      <c r="A51">
        <v>50</v>
      </c>
      <c r="B51" t="s">
        <v>73</v>
      </c>
      <c r="C51">
        <v>1</v>
      </c>
      <c r="D51">
        <v>-1</v>
      </c>
      <c r="E51">
        <v>-1</v>
      </c>
      <c r="F51">
        <v>-1</v>
      </c>
      <c r="G51">
        <v>1</v>
      </c>
      <c r="H51">
        <v>1</v>
      </c>
      <c r="I51">
        <v>-1</v>
      </c>
      <c r="J51">
        <v>21</v>
      </c>
      <c r="K51">
        <f t="shared" ref="K51:Q51" si="51">J100+J101</f>
        <v>81</v>
      </c>
      <c r="L51">
        <f t="shared" si="51"/>
        <v>8</v>
      </c>
      <c r="M51">
        <f t="shared" si="51"/>
        <v>3</v>
      </c>
      <c r="N51">
        <f t="shared" si="51"/>
        <v>-8</v>
      </c>
      <c r="O51">
        <f t="shared" si="51"/>
        <v>-3</v>
      </c>
      <c r="P51">
        <f t="shared" si="51"/>
        <v>-1</v>
      </c>
      <c r="Q51">
        <f t="shared" si="51"/>
        <v>-20</v>
      </c>
      <c r="R51">
        <f t="shared" si="35"/>
        <v>-0.3125</v>
      </c>
    </row>
    <row r="52" spans="1:18" x14ac:dyDescent="0.25">
      <c r="A52">
        <v>51</v>
      </c>
      <c r="B52" t="s">
        <v>74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38</v>
      </c>
      <c r="K52">
        <f t="shared" ref="K52:Q52" si="52">J102+J103</f>
        <v>39</v>
      </c>
      <c r="L52">
        <f t="shared" si="52"/>
        <v>11</v>
      </c>
      <c r="M52">
        <f t="shared" si="52"/>
        <v>8</v>
      </c>
      <c r="N52">
        <f t="shared" si="52"/>
        <v>-1</v>
      </c>
      <c r="O52">
        <f t="shared" si="52"/>
        <v>1</v>
      </c>
      <c r="P52">
        <f t="shared" si="52"/>
        <v>5</v>
      </c>
      <c r="Q52">
        <f t="shared" si="52"/>
        <v>-2</v>
      </c>
      <c r="R52">
        <f t="shared" si="35"/>
        <v>-3.125E-2</v>
      </c>
    </row>
    <row r="53" spans="1:18" x14ac:dyDescent="0.25">
      <c r="A53">
        <v>52</v>
      </c>
      <c r="B53" t="s">
        <v>75</v>
      </c>
      <c r="C53">
        <v>1</v>
      </c>
      <c r="D53">
        <v>1</v>
      </c>
      <c r="E53">
        <v>-1</v>
      </c>
      <c r="F53">
        <v>-1</v>
      </c>
      <c r="G53">
        <v>1</v>
      </c>
      <c r="H53">
        <v>1</v>
      </c>
      <c r="I53">
        <v>-1</v>
      </c>
      <c r="J53">
        <v>45</v>
      </c>
      <c r="K53">
        <f t="shared" ref="K53:Q53" si="53">J104+J105</f>
        <v>76</v>
      </c>
      <c r="L53">
        <f t="shared" si="53"/>
        <v>8</v>
      </c>
      <c r="M53">
        <f t="shared" si="53"/>
        <v>8</v>
      </c>
      <c r="N53">
        <f t="shared" si="53"/>
        <v>-8</v>
      </c>
      <c r="O53">
        <f t="shared" si="53"/>
        <v>0</v>
      </c>
      <c r="P53">
        <f t="shared" si="53"/>
        <v>-1</v>
      </c>
      <c r="Q53">
        <f t="shared" si="53"/>
        <v>8</v>
      </c>
      <c r="R53">
        <f t="shared" si="35"/>
        <v>0.125</v>
      </c>
    </row>
    <row r="54" spans="1:18" x14ac:dyDescent="0.25">
      <c r="A54">
        <v>53</v>
      </c>
      <c r="B54" t="s">
        <v>76</v>
      </c>
      <c r="C54">
        <v>-1</v>
      </c>
      <c r="D54">
        <v>-1</v>
      </c>
      <c r="E54">
        <v>1</v>
      </c>
      <c r="F54">
        <v>-1</v>
      </c>
      <c r="G54">
        <v>1</v>
      </c>
      <c r="H54">
        <v>1</v>
      </c>
      <c r="I54">
        <v>-1</v>
      </c>
      <c r="J54">
        <v>18</v>
      </c>
      <c r="K54">
        <f t="shared" ref="K54:Q54" si="54">J106+J107</f>
        <v>45</v>
      </c>
      <c r="L54">
        <f t="shared" si="54"/>
        <v>6</v>
      </c>
      <c r="M54">
        <f t="shared" si="54"/>
        <v>1</v>
      </c>
      <c r="N54">
        <f t="shared" si="54"/>
        <v>-2</v>
      </c>
      <c r="O54">
        <f t="shared" si="54"/>
        <v>2</v>
      </c>
      <c r="P54">
        <f t="shared" si="54"/>
        <v>-1</v>
      </c>
      <c r="Q54">
        <f t="shared" si="54"/>
        <v>14</v>
      </c>
      <c r="R54">
        <f t="shared" si="35"/>
        <v>0.21875</v>
      </c>
    </row>
    <row r="55" spans="1:18" x14ac:dyDescent="0.25">
      <c r="A55">
        <v>54</v>
      </c>
      <c r="B55" t="s">
        <v>77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20</v>
      </c>
      <c r="K55">
        <f t="shared" ref="K55:Q55" si="55">J108+J109</f>
        <v>78</v>
      </c>
      <c r="L55">
        <f t="shared" si="55"/>
        <v>5</v>
      </c>
      <c r="M55">
        <f t="shared" si="55"/>
        <v>0</v>
      </c>
      <c r="N55">
        <f t="shared" si="55"/>
        <v>-1</v>
      </c>
      <c r="O55">
        <f t="shared" si="55"/>
        <v>-1</v>
      </c>
      <c r="P55">
        <f t="shared" si="55"/>
        <v>-1</v>
      </c>
      <c r="Q55">
        <f t="shared" si="55"/>
        <v>8</v>
      </c>
      <c r="R55">
        <f t="shared" si="35"/>
        <v>0.125</v>
      </c>
    </row>
    <row r="56" spans="1:18" x14ac:dyDescent="0.25">
      <c r="A56">
        <v>55</v>
      </c>
      <c r="B56" t="s">
        <v>78</v>
      </c>
      <c r="C56">
        <v>-1</v>
      </c>
      <c r="D56">
        <v>1</v>
      </c>
      <c r="E56">
        <v>1</v>
      </c>
      <c r="F56">
        <v>-1</v>
      </c>
      <c r="G56">
        <v>1</v>
      </c>
      <c r="H56">
        <v>1</v>
      </c>
      <c r="I56">
        <v>-1</v>
      </c>
      <c r="J56">
        <v>36</v>
      </c>
      <c r="K56">
        <f t="shared" ref="K56:Q56" si="56">J110+J111</f>
        <v>39</v>
      </c>
      <c r="L56">
        <f t="shared" si="56"/>
        <v>5</v>
      </c>
      <c r="M56">
        <f t="shared" si="56"/>
        <v>9</v>
      </c>
      <c r="N56">
        <f t="shared" si="56"/>
        <v>2</v>
      </c>
      <c r="O56">
        <f t="shared" si="56"/>
        <v>1</v>
      </c>
      <c r="P56">
        <f t="shared" si="56"/>
        <v>1</v>
      </c>
      <c r="Q56">
        <f t="shared" si="56"/>
        <v>-10</v>
      </c>
      <c r="R56">
        <f t="shared" si="35"/>
        <v>-0.15625</v>
      </c>
    </row>
    <row r="57" spans="1:18" x14ac:dyDescent="0.25">
      <c r="A57">
        <v>56</v>
      </c>
      <c r="B57" t="s">
        <v>79</v>
      </c>
      <c r="C57">
        <v>1</v>
      </c>
      <c r="D57">
        <v>1</v>
      </c>
      <c r="E57">
        <v>1</v>
      </c>
      <c r="F57">
        <v>-1</v>
      </c>
      <c r="G57">
        <v>1</v>
      </c>
      <c r="H57">
        <v>1</v>
      </c>
      <c r="I57">
        <v>-1</v>
      </c>
      <c r="J57">
        <v>42</v>
      </c>
      <c r="K57">
        <f t="shared" ref="K57:Q57" si="57">J112+J113</f>
        <v>73</v>
      </c>
      <c r="L57">
        <f t="shared" si="57"/>
        <v>5</v>
      </c>
      <c r="M57">
        <f t="shared" si="57"/>
        <v>7</v>
      </c>
      <c r="N57">
        <f t="shared" si="57"/>
        <v>-6</v>
      </c>
      <c r="O57">
        <f t="shared" si="57"/>
        <v>0</v>
      </c>
      <c r="P57">
        <f t="shared" si="57"/>
        <v>-1</v>
      </c>
      <c r="Q57">
        <f t="shared" si="57"/>
        <v>-8</v>
      </c>
      <c r="R57">
        <f t="shared" si="35"/>
        <v>-0.125</v>
      </c>
    </row>
    <row r="58" spans="1:18" x14ac:dyDescent="0.25">
      <c r="A58">
        <v>57</v>
      </c>
      <c r="B58" t="s">
        <v>80</v>
      </c>
      <c r="C58">
        <v>-1</v>
      </c>
      <c r="D58">
        <v>-1</v>
      </c>
      <c r="E58">
        <v>-1</v>
      </c>
      <c r="F58">
        <v>1</v>
      </c>
      <c r="G58">
        <v>1</v>
      </c>
      <c r="H58">
        <v>1</v>
      </c>
      <c r="I58">
        <v>-1</v>
      </c>
      <c r="J58">
        <v>19</v>
      </c>
      <c r="K58">
        <f t="shared" ref="K58:Q58" si="58">J114+J115</f>
        <v>37</v>
      </c>
      <c r="L58">
        <f t="shared" si="58"/>
        <v>16</v>
      </c>
      <c r="M58">
        <f t="shared" si="58"/>
        <v>5</v>
      </c>
      <c r="N58">
        <f t="shared" si="58"/>
        <v>6</v>
      </c>
      <c r="O58">
        <f t="shared" si="58"/>
        <v>0</v>
      </c>
      <c r="P58">
        <f t="shared" si="58"/>
        <v>-3</v>
      </c>
      <c r="Q58">
        <f t="shared" si="58"/>
        <v>4</v>
      </c>
      <c r="R58">
        <f t="shared" si="35"/>
        <v>6.25E-2</v>
      </c>
    </row>
    <row r="59" spans="1:18" x14ac:dyDescent="0.25">
      <c r="A59">
        <v>58</v>
      </c>
      <c r="B59" t="s">
        <v>81</v>
      </c>
      <c r="C59">
        <v>1</v>
      </c>
      <c r="D59">
        <v>-1</v>
      </c>
      <c r="E59">
        <v>-1</v>
      </c>
      <c r="F59">
        <v>1</v>
      </c>
      <c r="G59">
        <v>1</v>
      </c>
      <c r="H59">
        <v>1</v>
      </c>
      <c r="I59">
        <v>-1</v>
      </c>
      <c r="J59">
        <v>21</v>
      </c>
      <c r="K59">
        <f t="shared" ref="K59:Q59" si="59">J116+J117</f>
        <v>71</v>
      </c>
      <c r="L59">
        <f t="shared" si="59"/>
        <v>13</v>
      </c>
      <c r="M59">
        <f t="shared" si="59"/>
        <v>5</v>
      </c>
      <c r="N59">
        <f t="shared" si="59"/>
        <v>0</v>
      </c>
      <c r="O59">
        <f t="shared" si="59"/>
        <v>-1</v>
      </c>
      <c r="P59">
        <f t="shared" si="59"/>
        <v>1</v>
      </c>
      <c r="Q59">
        <f t="shared" si="59"/>
        <v>-2</v>
      </c>
      <c r="R59">
        <f t="shared" si="35"/>
        <v>-3.125E-2</v>
      </c>
    </row>
    <row r="60" spans="1:18" x14ac:dyDescent="0.25">
      <c r="A60">
        <v>59</v>
      </c>
      <c r="B60" t="s">
        <v>82</v>
      </c>
      <c r="C60">
        <v>-1</v>
      </c>
      <c r="D60">
        <v>1</v>
      </c>
      <c r="E60">
        <v>-1</v>
      </c>
      <c r="F60">
        <v>1</v>
      </c>
      <c r="G60">
        <v>1</v>
      </c>
      <c r="H60">
        <v>1</v>
      </c>
      <c r="I60">
        <v>-1</v>
      </c>
      <c r="J60">
        <v>37</v>
      </c>
      <c r="K60">
        <f t="shared" ref="K60:Q60" si="60">J118+J119</f>
        <v>37</v>
      </c>
      <c r="L60">
        <f t="shared" si="60"/>
        <v>15</v>
      </c>
      <c r="M60">
        <f t="shared" si="60"/>
        <v>9</v>
      </c>
      <c r="N60">
        <f t="shared" si="60"/>
        <v>7</v>
      </c>
      <c r="O60">
        <f t="shared" si="60"/>
        <v>1</v>
      </c>
      <c r="P60">
        <f t="shared" si="60"/>
        <v>-1</v>
      </c>
      <c r="Q60">
        <f t="shared" si="60"/>
        <v>4</v>
      </c>
      <c r="R60">
        <f t="shared" si="35"/>
        <v>6.25E-2</v>
      </c>
    </row>
    <row r="61" spans="1:18" x14ac:dyDescent="0.25">
      <c r="A61">
        <v>60</v>
      </c>
      <c r="B61" t="s">
        <v>83</v>
      </c>
      <c r="C61">
        <v>1</v>
      </c>
      <c r="D61">
        <v>1</v>
      </c>
      <c r="E61">
        <v>-1</v>
      </c>
      <c r="F61">
        <v>1</v>
      </c>
      <c r="G61">
        <v>1</v>
      </c>
      <c r="H61">
        <v>1</v>
      </c>
      <c r="I61">
        <v>-1</v>
      </c>
      <c r="J61">
        <v>43</v>
      </c>
      <c r="K61">
        <f t="shared" ref="K61:Q61" si="61">J120+J121</f>
        <v>68</v>
      </c>
      <c r="L61">
        <f t="shared" si="61"/>
        <v>12</v>
      </c>
      <c r="M61">
        <f t="shared" si="61"/>
        <v>8</v>
      </c>
      <c r="N61">
        <f t="shared" si="61"/>
        <v>-2</v>
      </c>
      <c r="O61">
        <f t="shared" si="61"/>
        <v>0</v>
      </c>
      <c r="P61">
        <f t="shared" si="61"/>
        <v>1</v>
      </c>
      <c r="Q61">
        <f t="shared" si="61"/>
        <v>-2</v>
      </c>
      <c r="R61">
        <f t="shared" si="35"/>
        <v>-3.125E-2</v>
      </c>
    </row>
    <row r="62" spans="1:18" x14ac:dyDescent="0.25">
      <c r="A62">
        <v>61</v>
      </c>
      <c r="B62" t="s">
        <v>84</v>
      </c>
      <c r="C62">
        <v>-1</v>
      </c>
      <c r="D62">
        <v>-1</v>
      </c>
      <c r="E62">
        <v>1</v>
      </c>
      <c r="F62">
        <v>1</v>
      </c>
      <c r="G62">
        <v>1</v>
      </c>
      <c r="H62">
        <v>1</v>
      </c>
      <c r="I62">
        <v>-1</v>
      </c>
      <c r="J62">
        <v>18</v>
      </c>
      <c r="K62">
        <f t="shared" ref="K62:Q62" si="62">J122+J123</f>
        <v>37</v>
      </c>
      <c r="L62">
        <f t="shared" si="62"/>
        <v>8</v>
      </c>
      <c r="M62">
        <f t="shared" si="62"/>
        <v>9</v>
      </c>
      <c r="N62">
        <f t="shared" si="62"/>
        <v>6</v>
      </c>
      <c r="O62">
        <f t="shared" si="62"/>
        <v>0</v>
      </c>
      <c r="P62">
        <f t="shared" si="62"/>
        <v>-3</v>
      </c>
      <c r="Q62">
        <f t="shared" si="62"/>
        <v>0</v>
      </c>
      <c r="R62">
        <f t="shared" si="35"/>
        <v>0</v>
      </c>
    </row>
    <row r="63" spans="1:18" x14ac:dyDescent="0.25">
      <c r="A63">
        <v>62</v>
      </c>
      <c r="B63" t="s">
        <v>85</v>
      </c>
      <c r="C63">
        <v>1</v>
      </c>
      <c r="D63">
        <v>-1</v>
      </c>
      <c r="E63">
        <v>1</v>
      </c>
      <c r="F63">
        <v>1</v>
      </c>
      <c r="G63">
        <v>1</v>
      </c>
      <c r="H63">
        <v>1</v>
      </c>
      <c r="I63">
        <v>-1</v>
      </c>
      <c r="J63">
        <v>20</v>
      </c>
      <c r="K63">
        <f t="shared" ref="K63:Q63" si="63">J124+J125</f>
        <v>68</v>
      </c>
      <c r="L63">
        <f t="shared" si="63"/>
        <v>9</v>
      </c>
      <c r="M63">
        <f t="shared" si="63"/>
        <v>7</v>
      </c>
      <c r="N63">
        <f t="shared" si="63"/>
        <v>3</v>
      </c>
      <c r="O63">
        <f t="shared" si="63"/>
        <v>1</v>
      </c>
      <c r="P63">
        <f t="shared" si="63"/>
        <v>1</v>
      </c>
      <c r="Q63">
        <f t="shared" si="63"/>
        <v>2</v>
      </c>
      <c r="R63">
        <f t="shared" si="35"/>
        <v>3.125E-2</v>
      </c>
    </row>
    <row r="64" spans="1:18" x14ac:dyDescent="0.25">
      <c r="A64">
        <v>63</v>
      </c>
      <c r="B64" t="s">
        <v>86</v>
      </c>
      <c r="C64">
        <v>-1</v>
      </c>
      <c r="D64">
        <v>1</v>
      </c>
      <c r="E64">
        <v>1</v>
      </c>
      <c r="F64">
        <v>1</v>
      </c>
      <c r="G64">
        <v>1</v>
      </c>
      <c r="H64">
        <v>1</v>
      </c>
      <c r="I64">
        <v>-1</v>
      </c>
      <c r="J64">
        <v>34</v>
      </c>
      <c r="K64">
        <f t="shared" ref="K64:Q64" si="64">J126+J127</f>
        <v>37</v>
      </c>
      <c r="L64">
        <f t="shared" si="64"/>
        <v>7</v>
      </c>
      <c r="M64">
        <f t="shared" si="64"/>
        <v>13</v>
      </c>
      <c r="N64">
        <f t="shared" si="64"/>
        <v>10</v>
      </c>
      <c r="O64">
        <f t="shared" si="64"/>
        <v>1</v>
      </c>
      <c r="P64">
        <f t="shared" si="64"/>
        <v>-1</v>
      </c>
      <c r="Q64">
        <f t="shared" si="64"/>
        <v>-4</v>
      </c>
      <c r="R64">
        <f t="shared" si="35"/>
        <v>-6.25E-2</v>
      </c>
    </row>
    <row r="65" spans="1:18" x14ac:dyDescent="0.25">
      <c r="A65">
        <v>64</v>
      </c>
      <c r="B65" t="s">
        <v>87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39</v>
      </c>
      <c r="K65">
        <f t="shared" ref="K65:Q65" si="65">J128+J129</f>
        <v>65</v>
      </c>
      <c r="L65">
        <f t="shared" si="65"/>
        <v>8</v>
      </c>
      <c r="M65">
        <f t="shared" si="65"/>
        <v>11</v>
      </c>
      <c r="N65">
        <f t="shared" si="65"/>
        <v>2</v>
      </c>
      <c r="O65">
        <f t="shared" si="65"/>
        <v>0</v>
      </c>
      <c r="P65">
        <f t="shared" si="65"/>
        <v>1</v>
      </c>
      <c r="Q65">
        <f t="shared" si="65"/>
        <v>-2</v>
      </c>
      <c r="R65">
        <f t="shared" si="35"/>
        <v>-3.125E-2</v>
      </c>
    </row>
    <row r="66" spans="1:18" x14ac:dyDescent="0.25">
      <c r="A66">
        <v>65</v>
      </c>
      <c r="B66" t="s">
        <v>88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1</v>
      </c>
      <c r="J66">
        <v>18</v>
      </c>
      <c r="K66">
        <f t="shared" ref="K66:Q66" si="66">J3-J2</f>
        <v>7</v>
      </c>
      <c r="L66">
        <f t="shared" si="66"/>
        <v>31</v>
      </c>
      <c r="M66">
        <f t="shared" si="66"/>
        <v>-13</v>
      </c>
      <c r="N66">
        <f t="shared" si="66"/>
        <v>-4</v>
      </c>
      <c r="O66">
        <f t="shared" si="66"/>
        <v>-50</v>
      </c>
      <c r="P66">
        <f t="shared" si="66"/>
        <v>151</v>
      </c>
      <c r="Q66">
        <f t="shared" si="66"/>
        <v>-188</v>
      </c>
      <c r="R66">
        <f t="shared" si="35"/>
        <v>-2.9375</v>
      </c>
    </row>
    <row r="67" spans="1:18" x14ac:dyDescent="0.25">
      <c r="A67">
        <v>66</v>
      </c>
      <c r="B67" t="s">
        <v>89</v>
      </c>
      <c r="C67">
        <v>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1</v>
      </c>
      <c r="J67">
        <v>23</v>
      </c>
      <c r="K67">
        <f t="shared" ref="K67:Q67" si="67">J5-J4</f>
        <v>8</v>
      </c>
      <c r="L67">
        <f t="shared" si="67"/>
        <v>30</v>
      </c>
      <c r="M67">
        <f t="shared" si="67"/>
        <v>-11</v>
      </c>
      <c r="N67">
        <f t="shared" si="67"/>
        <v>-4</v>
      </c>
      <c r="O67">
        <f t="shared" si="67"/>
        <v>-69</v>
      </c>
      <c r="P67">
        <f t="shared" si="67"/>
        <v>113</v>
      </c>
      <c r="Q67">
        <f t="shared" si="67"/>
        <v>-22</v>
      </c>
      <c r="R67">
        <f t="shared" ref="R67:R98" si="68">Q67/64</f>
        <v>-0.34375</v>
      </c>
    </row>
    <row r="68" spans="1:18" x14ac:dyDescent="0.25">
      <c r="A68">
        <v>67</v>
      </c>
      <c r="B68" t="s">
        <v>90</v>
      </c>
      <c r="C68">
        <v>-1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1</v>
      </c>
      <c r="J68">
        <v>30</v>
      </c>
      <c r="K68">
        <f t="shared" ref="K68:Q68" si="69">J7-J6</f>
        <v>3</v>
      </c>
      <c r="L68">
        <f t="shared" si="69"/>
        <v>30</v>
      </c>
      <c r="M68">
        <f t="shared" si="69"/>
        <v>-4</v>
      </c>
      <c r="N68">
        <f t="shared" si="69"/>
        <v>-11</v>
      </c>
      <c r="O68">
        <f t="shared" si="69"/>
        <v>-37</v>
      </c>
      <c r="P68">
        <f t="shared" si="69"/>
        <v>29</v>
      </c>
      <c r="Q68">
        <f t="shared" si="69"/>
        <v>-116</v>
      </c>
      <c r="R68">
        <f t="shared" si="68"/>
        <v>-1.8125</v>
      </c>
    </row>
    <row r="69" spans="1:18" x14ac:dyDescent="0.25">
      <c r="A69">
        <v>68</v>
      </c>
      <c r="B69" t="s">
        <v>91</v>
      </c>
      <c r="C69">
        <v>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1</v>
      </c>
      <c r="J69">
        <v>36</v>
      </c>
      <c r="K69">
        <f t="shared" ref="K69:Q69" si="70">J9-J8</f>
        <v>7</v>
      </c>
      <c r="L69">
        <f t="shared" si="70"/>
        <v>29</v>
      </c>
      <c r="M69">
        <f t="shared" si="70"/>
        <v>-4</v>
      </c>
      <c r="N69">
        <f t="shared" si="70"/>
        <v>-8</v>
      </c>
      <c r="O69">
        <f t="shared" si="70"/>
        <v>-56</v>
      </c>
      <c r="P69">
        <f t="shared" si="70"/>
        <v>29</v>
      </c>
      <c r="Q69">
        <f t="shared" si="70"/>
        <v>26</v>
      </c>
      <c r="R69">
        <f t="shared" si="68"/>
        <v>0.40625</v>
      </c>
    </row>
    <row r="70" spans="1:18" x14ac:dyDescent="0.25">
      <c r="A70">
        <v>69</v>
      </c>
      <c r="B70" t="s">
        <v>92</v>
      </c>
      <c r="C70">
        <v>-1</v>
      </c>
      <c r="D70">
        <v>-1</v>
      </c>
      <c r="E70">
        <v>1</v>
      </c>
      <c r="F70">
        <v>-1</v>
      </c>
      <c r="G70">
        <v>-1</v>
      </c>
      <c r="H70">
        <v>-1</v>
      </c>
      <c r="I70">
        <v>1</v>
      </c>
      <c r="J70">
        <v>18</v>
      </c>
      <c r="K70">
        <f t="shared" ref="K70:Q70" si="71">J11-J10</f>
        <v>6</v>
      </c>
      <c r="L70">
        <f t="shared" si="71"/>
        <v>30</v>
      </c>
      <c r="M70">
        <f t="shared" si="71"/>
        <v>-19</v>
      </c>
      <c r="N70">
        <f t="shared" si="71"/>
        <v>-4</v>
      </c>
      <c r="O70">
        <f t="shared" si="71"/>
        <v>-22</v>
      </c>
      <c r="P70">
        <f t="shared" si="71"/>
        <v>99</v>
      </c>
      <c r="Q70">
        <f t="shared" si="71"/>
        <v>40</v>
      </c>
      <c r="R70">
        <f t="shared" si="68"/>
        <v>0.625</v>
      </c>
    </row>
    <row r="71" spans="1:18" x14ac:dyDescent="0.25">
      <c r="A71">
        <v>70</v>
      </c>
      <c r="B71" t="s">
        <v>93</v>
      </c>
      <c r="C71">
        <v>1</v>
      </c>
      <c r="D71">
        <v>-1</v>
      </c>
      <c r="E71">
        <v>1</v>
      </c>
      <c r="F71">
        <v>-1</v>
      </c>
      <c r="G71">
        <v>-1</v>
      </c>
      <c r="H71">
        <v>-1</v>
      </c>
      <c r="I71">
        <v>1</v>
      </c>
      <c r="J71">
        <v>20</v>
      </c>
      <c r="K71">
        <f t="shared" ref="K71:Q71" si="72">J13-J12</f>
        <v>6</v>
      </c>
      <c r="L71">
        <f t="shared" si="72"/>
        <v>26</v>
      </c>
      <c r="M71">
        <f t="shared" si="72"/>
        <v>-20</v>
      </c>
      <c r="N71">
        <f t="shared" si="72"/>
        <v>-5</v>
      </c>
      <c r="O71">
        <f t="shared" si="72"/>
        <v>-35</v>
      </c>
      <c r="P71">
        <f t="shared" si="72"/>
        <v>89</v>
      </c>
      <c r="Q71">
        <f t="shared" si="72"/>
        <v>14</v>
      </c>
      <c r="R71">
        <f t="shared" si="68"/>
        <v>0.21875</v>
      </c>
    </row>
    <row r="72" spans="1:18" x14ac:dyDescent="0.25">
      <c r="A72">
        <v>71</v>
      </c>
      <c r="B72" t="s">
        <v>94</v>
      </c>
      <c r="C72">
        <v>-1</v>
      </c>
      <c r="D72">
        <v>1</v>
      </c>
      <c r="E72">
        <v>1</v>
      </c>
      <c r="F72">
        <v>-1</v>
      </c>
      <c r="G72">
        <v>-1</v>
      </c>
      <c r="H72">
        <v>-1</v>
      </c>
      <c r="I72">
        <v>1</v>
      </c>
      <c r="J72">
        <v>28</v>
      </c>
      <c r="K72">
        <f t="shared" ref="K72:Q72" si="73">J15-J14</f>
        <v>3</v>
      </c>
      <c r="L72">
        <f t="shared" si="73"/>
        <v>28</v>
      </c>
      <c r="M72">
        <f t="shared" si="73"/>
        <v>-7</v>
      </c>
      <c r="N72">
        <f t="shared" si="73"/>
        <v>-6</v>
      </c>
      <c r="O72">
        <f t="shared" si="73"/>
        <v>-17</v>
      </c>
      <c r="P72">
        <f t="shared" si="73"/>
        <v>-7</v>
      </c>
      <c r="Q72">
        <f t="shared" si="73"/>
        <v>12</v>
      </c>
      <c r="R72">
        <f t="shared" si="68"/>
        <v>0.1875</v>
      </c>
    </row>
    <row r="73" spans="1:18" x14ac:dyDescent="0.25">
      <c r="A73">
        <v>72</v>
      </c>
      <c r="B73" t="s">
        <v>95</v>
      </c>
      <c r="C73">
        <v>1</v>
      </c>
      <c r="D73">
        <v>1</v>
      </c>
      <c r="E73">
        <v>1</v>
      </c>
      <c r="F73">
        <v>-1</v>
      </c>
      <c r="G73">
        <v>-1</v>
      </c>
      <c r="H73">
        <v>-1</v>
      </c>
      <c r="I73">
        <v>1</v>
      </c>
      <c r="J73">
        <v>34</v>
      </c>
      <c r="K73">
        <f t="shared" ref="K73:Q73" si="74">J17-J16</f>
        <v>6</v>
      </c>
      <c r="L73">
        <f t="shared" si="74"/>
        <v>24</v>
      </c>
      <c r="M73">
        <f t="shared" si="74"/>
        <v>-9</v>
      </c>
      <c r="N73">
        <f t="shared" si="74"/>
        <v>-6</v>
      </c>
      <c r="O73">
        <f t="shared" si="74"/>
        <v>-24</v>
      </c>
      <c r="P73">
        <f t="shared" si="74"/>
        <v>13</v>
      </c>
      <c r="Q73">
        <f t="shared" si="74"/>
        <v>10</v>
      </c>
      <c r="R73">
        <f t="shared" si="68"/>
        <v>0.15625</v>
      </c>
    </row>
    <row r="74" spans="1:18" x14ac:dyDescent="0.25">
      <c r="A74">
        <v>73</v>
      </c>
      <c r="B74" t="s">
        <v>96</v>
      </c>
      <c r="C74">
        <v>-1</v>
      </c>
      <c r="D74">
        <v>-1</v>
      </c>
      <c r="E74">
        <v>-1</v>
      </c>
      <c r="F74">
        <v>1</v>
      </c>
      <c r="G74">
        <v>-1</v>
      </c>
      <c r="H74">
        <v>-1</v>
      </c>
      <c r="I74">
        <v>1</v>
      </c>
      <c r="J74">
        <v>18</v>
      </c>
      <c r="K74">
        <f t="shared" ref="K74:Q74" si="75">J19-J18</f>
        <v>1</v>
      </c>
      <c r="L74">
        <f t="shared" si="75"/>
        <v>45</v>
      </c>
      <c r="M74">
        <f t="shared" si="75"/>
        <v>-7</v>
      </c>
      <c r="N74">
        <f t="shared" si="75"/>
        <v>-4</v>
      </c>
      <c r="O74">
        <f t="shared" si="75"/>
        <v>-12</v>
      </c>
      <c r="P74">
        <f t="shared" si="75"/>
        <v>-23</v>
      </c>
      <c r="Q74">
        <f t="shared" si="75"/>
        <v>6</v>
      </c>
      <c r="R74">
        <f t="shared" si="68"/>
        <v>9.375E-2</v>
      </c>
    </row>
    <row r="75" spans="1:18" x14ac:dyDescent="0.25">
      <c r="A75">
        <v>74</v>
      </c>
      <c r="B75" t="s">
        <v>97</v>
      </c>
      <c r="C75">
        <v>1</v>
      </c>
      <c r="D75">
        <v>-1</v>
      </c>
      <c r="E75">
        <v>-1</v>
      </c>
      <c r="F75">
        <v>1</v>
      </c>
      <c r="G75">
        <v>-1</v>
      </c>
      <c r="H75">
        <v>-1</v>
      </c>
      <c r="I75">
        <v>1</v>
      </c>
      <c r="J75">
        <v>23</v>
      </c>
      <c r="K75">
        <f t="shared" ref="K75:Q75" si="76">J21-J20</f>
        <v>5</v>
      </c>
      <c r="L75">
        <f t="shared" si="76"/>
        <v>44</v>
      </c>
      <c r="M75">
        <f t="shared" si="76"/>
        <v>-7</v>
      </c>
      <c r="N75">
        <f t="shared" si="76"/>
        <v>0</v>
      </c>
      <c r="O75">
        <f t="shared" si="76"/>
        <v>-11</v>
      </c>
      <c r="P75">
        <f t="shared" si="76"/>
        <v>-9</v>
      </c>
      <c r="Q75">
        <f t="shared" si="76"/>
        <v>4</v>
      </c>
      <c r="R75">
        <f t="shared" si="68"/>
        <v>6.25E-2</v>
      </c>
    </row>
    <row r="76" spans="1:18" x14ac:dyDescent="0.25">
      <c r="A76">
        <v>75</v>
      </c>
      <c r="B76" t="s">
        <v>98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1</v>
      </c>
      <c r="J76">
        <v>29</v>
      </c>
      <c r="K76">
        <f t="shared" ref="K76:Q76" si="77">J23-J22</f>
        <v>1</v>
      </c>
      <c r="L76">
        <f t="shared" si="77"/>
        <v>40</v>
      </c>
      <c r="M76">
        <f t="shared" si="77"/>
        <v>-3</v>
      </c>
      <c r="N76">
        <f t="shared" si="77"/>
        <v>-3</v>
      </c>
      <c r="O76">
        <f t="shared" si="77"/>
        <v>-13</v>
      </c>
      <c r="P76">
        <f t="shared" si="77"/>
        <v>-9</v>
      </c>
      <c r="Q76">
        <f t="shared" si="77"/>
        <v>2</v>
      </c>
      <c r="R76">
        <f t="shared" si="68"/>
        <v>3.125E-2</v>
      </c>
    </row>
    <row r="77" spans="1:18" x14ac:dyDescent="0.25">
      <c r="A77">
        <v>76</v>
      </c>
      <c r="B77" t="s">
        <v>99</v>
      </c>
      <c r="C77">
        <v>1</v>
      </c>
      <c r="D77">
        <v>1</v>
      </c>
      <c r="E77">
        <v>-1</v>
      </c>
      <c r="F77">
        <v>1</v>
      </c>
      <c r="G77">
        <v>-1</v>
      </c>
      <c r="H77">
        <v>-1</v>
      </c>
      <c r="I77">
        <v>1</v>
      </c>
      <c r="J77">
        <v>35</v>
      </c>
      <c r="K77">
        <f t="shared" ref="K77:Q77" si="78">J25-J24</f>
        <v>5</v>
      </c>
      <c r="L77">
        <f t="shared" si="78"/>
        <v>40</v>
      </c>
      <c r="M77">
        <f t="shared" si="78"/>
        <v>-2</v>
      </c>
      <c r="N77">
        <f t="shared" si="78"/>
        <v>-2</v>
      </c>
      <c r="O77">
        <f t="shared" si="78"/>
        <v>-16</v>
      </c>
      <c r="P77">
        <f t="shared" si="78"/>
        <v>3</v>
      </c>
      <c r="Q77">
        <f t="shared" si="78"/>
        <v>0</v>
      </c>
      <c r="R77">
        <f t="shared" si="68"/>
        <v>0</v>
      </c>
    </row>
    <row r="78" spans="1:18" x14ac:dyDescent="0.25">
      <c r="A78">
        <v>77</v>
      </c>
      <c r="B78" t="s">
        <v>100</v>
      </c>
      <c r="C78">
        <v>-1</v>
      </c>
      <c r="D78">
        <v>-1</v>
      </c>
      <c r="E78">
        <v>1</v>
      </c>
      <c r="F78">
        <v>1</v>
      </c>
      <c r="G78">
        <v>-1</v>
      </c>
      <c r="H78">
        <v>-1</v>
      </c>
      <c r="I78">
        <v>1</v>
      </c>
      <c r="J78">
        <v>18</v>
      </c>
      <c r="K78">
        <f t="shared" ref="K78:Q78" si="79">J27-J26</f>
        <v>1</v>
      </c>
      <c r="L78">
        <f t="shared" si="79"/>
        <v>43</v>
      </c>
      <c r="M78">
        <f t="shared" si="79"/>
        <v>-11</v>
      </c>
      <c r="N78">
        <f t="shared" si="79"/>
        <v>0</v>
      </c>
      <c r="O78">
        <f t="shared" si="79"/>
        <v>8</v>
      </c>
      <c r="P78">
        <f t="shared" si="79"/>
        <v>1</v>
      </c>
      <c r="Q78">
        <f t="shared" si="79"/>
        <v>2</v>
      </c>
      <c r="R78">
        <f t="shared" si="68"/>
        <v>3.125E-2</v>
      </c>
    </row>
    <row r="79" spans="1:18" x14ac:dyDescent="0.25">
      <c r="A79">
        <v>78</v>
      </c>
      <c r="B79" t="s">
        <v>101</v>
      </c>
      <c r="C79">
        <v>1</v>
      </c>
      <c r="D79">
        <v>-1</v>
      </c>
      <c r="E79">
        <v>1</v>
      </c>
      <c r="F79">
        <v>1</v>
      </c>
      <c r="G79">
        <v>-1</v>
      </c>
      <c r="H79">
        <v>-1</v>
      </c>
      <c r="I79">
        <v>1</v>
      </c>
      <c r="J79">
        <v>20</v>
      </c>
      <c r="K79">
        <f t="shared" ref="K79:Q79" si="80">J29-J28</f>
        <v>5</v>
      </c>
      <c r="L79">
        <f t="shared" si="80"/>
        <v>40</v>
      </c>
      <c r="M79">
        <f t="shared" si="80"/>
        <v>-11</v>
      </c>
      <c r="N79">
        <f t="shared" si="80"/>
        <v>-1</v>
      </c>
      <c r="O79">
        <f t="shared" si="80"/>
        <v>15</v>
      </c>
      <c r="P79">
        <f t="shared" si="80"/>
        <v>-1</v>
      </c>
      <c r="Q79">
        <f t="shared" si="80"/>
        <v>0</v>
      </c>
      <c r="R79">
        <f t="shared" si="68"/>
        <v>0</v>
      </c>
    </row>
    <row r="80" spans="1:18" x14ac:dyDescent="0.25">
      <c r="A80">
        <v>79</v>
      </c>
      <c r="B80" t="s">
        <v>102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1</v>
      </c>
      <c r="J80">
        <v>27</v>
      </c>
      <c r="K80">
        <f t="shared" ref="K80:Q80" si="81">J31-J30</f>
        <v>1</v>
      </c>
      <c r="L80">
        <f t="shared" si="81"/>
        <v>40</v>
      </c>
      <c r="M80">
        <f t="shared" si="81"/>
        <v>-3</v>
      </c>
      <c r="N80">
        <f t="shared" si="81"/>
        <v>-2</v>
      </c>
      <c r="O80">
        <f t="shared" si="81"/>
        <v>7</v>
      </c>
      <c r="P80">
        <f t="shared" si="81"/>
        <v>-1</v>
      </c>
      <c r="Q80">
        <f t="shared" si="81"/>
        <v>2</v>
      </c>
      <c r="R80">
        <f t="shared" si="68"/>
        <v>3.125E-2</v>
      </c>
    </row>
    <row r="81" spans="1:18" x14ac:dyDescent="0.25">
      <c r="A81">
        <v>80</v>
      </c>
      <c r="B81" t="s">
        <v>103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  <c r="I81">
        <v>1</v>
      </c>
      <c r="J81">
        <v>33</v>
      </c>
      <c r="K81">
        <f t="shared" ref="K81:Q81" si="82">J33-J32</f>
        <v>5</v>
      </c>
      <c r="L81">
        <f t="shared" si="82"/>
        <v>35</v>
      </c>
      <c r="M81">
        <f t="shared" si="82"/>
        <v>-3</v>
      </c>
      <c r="N81">
        <f t="shared" si="82"/>
        <v>-2</v>
      </c>
      <c r="O81">
        <f t="shared" si="82"/>
        <v>8</v>
      </c>
      <c r="P81">
        <f t="shared" si="82"/>
        <v>3</v>
      </c>
      <c r="Q81">
        <f t="shared" si="82"/>
        <v>0</v>
      </c>
      <c r="R81">
        <f t="shared" si="68"/>
        <v>0</v>
      </c>
    </row>
    <row r="82" spans="1:18" x14ac:dyDescent="0.25">
      <c r="A82">
        <v>81</v>
      </c>
      <c r="B82" t="s">
        <v>104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18</v>
      </c>
      <c r="K82">
        <f t="shared" ref="K82:Q82" si="83">J35-J34</f>
        <v>11</v>
      </c>
      <c r="L82">
        <f t="shared" si="83"/>
        <v>25</v>
      </c>
      <c r="M82">
        <f t="shared" si="83"/>
        <v>-5</v>
      </c>
      <c r="N82">
        <f t="shared" si="83"/>
        <v>-2</v>
      </c>
      <c r="O82">
        <f t="shared" si="83"/>
        <v>16</v>
      </c>
      <c r="P82">
        <f t="shared" si="83"/>
        <v>-11</v>
      </c>
      <c r="Q82">
        <f t="shared" si="83"/>
        <v>26</v>
      </c>
      <c r="R82">
        <f t="shared" si="68"/>
        <v>0.40625</v>
      </c>
    </row>
    <row r="83" spans="1:18" x14ac:dyDescent="0.25">
      <c r="A83">
        <v>82</v>
      </c>
      <c r="B83" t="s">
        <v>105</v>
      </c>
      <c r="C83">
        <v>1</v>
      </c>
      <c r="D83">
        <v>-1</v>
      </c>
      <c r="E83">
        <v>-1</v>
      </c>
      <c r="F83">
        <v>-1</v>
      </c>
      <c r="G83">
        <v>1</v>
      </c>
      <c r="H83">
        <v>-1</v>
      </c>
      <c r="I83">
        <v>1</v>
      </c>
      <c r="J83">
        <v>19</v>
      </c>
      <c r="K83">
        <f t="shared" ref="K83:Q83" si="84">J37-J36</f>
        <v>10</v>
      </c>
      <c r="L83">
        <f t="shared" si="84"/>
        <v>24</v>
      </c>
      <c r="M83">
        <f t="shared" si="84"/>
        <v>-3</v>
      </c>
      <c r="N83">
        <f t="shared" si="84"/>
        <v>-4</v>
      </c>
      <c r="O83">
        <f t="shared" si="84"/>
        <v>23</v>
      </c>
      <c r="P83">
        <f t="shared" si="84"/>
        <v>-3</v>
      </c>
      <c r="Q83">
        <f t="shared" si="84"/>
        <v>16</v>
      </c>
      <c r="R83">
        <f t="shared" si="68"/>
        <v>0.25</v>
      </c>
    </row>
    <row r="84" spans="1:18" x14ac:dyDescent="0.25">
      <c r="A84">
        <v>83</v>
      </c>
      <c r="B84" t="s">
        <v>106</v>
      </c>
      <c r="C84">
        <v>-1</v>
      </c>
      <c r="D84">
        <v>1</v>
      </c>
      <c r="E84">
        <v>-1</v>
      </c>
      <c r="F84">
        <v>-1</v>
      </c>
      <c r="G84">
        <v>1</v>
      </c>
      <c r="H84">
        <v>-1</v>
      </c>
      <c r="I84">
        <v>1</v>
      </c>
      <c r="J84">
        <v>27</v>
      </c>
      <c r="K84">
        <f t="shared" ref="K84:Q84" si="85">J39-J38</f>
        <v>6</v>
      </c>
      <c r="L84">
        <f t="shared" si="85"/>
        <v>23</v>
      </c>
      <c r="M84">
        <f t="shared" si="85"/>
        <v>0</v>
      </c>
      <c r="N84">
        <f t="shared" si="85"/>
        <v>-9</v>
      </c>
      <c r="O84">
        <f t="shared" si="85"/>
        <v>9</v>
      </c>
      <c r="P84">
        <f t="shared" si="85"/>
        <v>-1</v>
      </c>
      <c r="Q84">
        <f t="shared" si="85"/>
        <v>-6</v>
      </c>
      <c r="R84">
        <f t="shared" si="68"/>
        <v>-9.375E-2</v>
      </c>
    </row>
    <row r="85" spans="1:18" x14ac:dyDescent="0.25">
      <c r="A85">
        <v>84</v>
      </c>
      <c r="B85" t="s">
        <v>107</v>
      </c>
      <c r="C85">
        <v>1</v>
      </c>
      <c r="D85">
        <v>1</v>
      </c>
      <c r="E85">
        <v>-1</v>
      </c>
      <c r="F85">
        <v>-1</v>
      </c>
      <c r="G85">
        <v>1</v>
      </c>
      <c r="H85">
        <v>-1</v>
      </c>
      <c r="I85">
        <v>1</v>
      </c>
      <c r="J85">
        <v>32</v>
      </c>
      <c r="K85">
        <f t="shared" ref="K85:Q85" si="86">J41-J40</f>
        <v>8</v>
      </c>
      <c r="L85">
        <f t="shared" si="86"/>
        <v>22</v>
      </c>
      <c r="M85">
        <f t="shared" si="86"/>
        <v>0</v>
      </c>
      <c r="N85">
        <f t="shared" si="86"/>
        <v>-8</v>
      </c>
      <c r="O85">
        <f t="shared" si="86"/>
        <v>16</v>
      </c>
      <c r="P85">
        <f t="shared" si="86"/>
        <v>-3</v>
      </c>
      <c r="Q85">
        <f t="shared" si="86"/>
        <v>-8</v>
      </c>
      <c r="R85">
        <f t="shared" si="68"/>
        <v>-0.125</v>
      </c>
    </row>
    <row r="86" spans="1:18" x14ac:dyDescent="0.25">
      <c r="A86">
        <v>85</v>
      </c>
      <c r="B86" t="s">
        <v>108</v>
      </c>
      <c r="C86">
        <v>-1</v>
      </c>
      <c r="D86">
        <v>-1</v>
      </c>
      <c r="E86">
        <v>1</v>
      </c>
      <c r="F86">
        <v>-1</v>
      </c>
      <c r="G86">
        <v>1</v>
      </c>
      <c r="H86">
        <v>-1</v>
      </c>
      <c r="I86">
        <v>1</v>
      </c>
      <c r="J86">
        <v>18</v>
      </c>
      <c r="K86">
        <f t="shared" ref="K86:Q86" si="87">J43-J42</f>
        <v>11</v>
      </c>
      <c r="L86">
        <f t="shared" si="87"/>
        <v>22</v>
      </c>
      <c r="M86">
        <f t="shared" si="87"/>
        <v>-7</v>
      </c>
      <c r="N86">
        <f t="shared" si="87"/>
        <v>-4</v>
      </c>
      <c r="O86">
        <f t="shared" si="87"/>
        <v>8</v>
      </c>
      <c r="P86">
        <f t="shared" si="87"/>
        <v>-11</v>
      </c>
      <c r="Q86">
        <f t="shared" si="87"/>
        <v>-14</v>
      </c>
      <c r="R86">
        <f t="shared" si="68"/>
        <v>-0.21875</v>
      </c>
    </row>
    <row r="87" spans="1:18" x14ac:dyDescent="0.25">
      <c r="A87">
        <v>86</v>
      </c>
      <c r="B87" t="s">
        <v>109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  <c r="I87">
        <v>1</v>
      </c>
      <c r="J87">
        <v>18</v>
      </c>
      <c r="K87">
        <f t="shared" ref="K87:Q87" si="88">J45-J44</f>
        <v>9</v>
      </c>
      <c r="L87">
        <f t="shared" si="88"/>
        <v>21</v>
      </c>
      <c r="M87">
        <f t="shared" si="88"/>
        <v>-8</v>
      </c>
      <c r="N87">
        <f t="shared" si="88"/>
        <v>-5</v>
      </c>
      <c r="O87">
        <f t="shared" si="88"/>
        <v>13</v>
      </c>
      <c r="P87">
        <f t="shared" si="88"/>
        <v>-3</v>
      </c>
      <c r="Q87">
        <f t="shared" si="88"/>
        <v>-8</v>
      </c>
      <c r="R87">
        <f t="shared" si="68"/>
        <v>-0.125</v>
      </c>
    </row>
    <row r="88" spans="1:18" x14ac:dyDescent="0.25">
      <c r="A88">
        <v>87</v>
      </c>
      <c r="B88" t="s">
        <v>110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26</v>
      </c>
      <c r="K88">
        <f t="shared" ref="K88:Q88" si="89">J47-J46</f>
        <v>5</v>
      </c>
      <c r="L88">
        <f t="shared" si="89"/>
        <v>19</v>
      </c>
      <c r="M88">
        <f t="shared" si="89"/>
        <v>-1</v>
      </c>
      <c r="N88">
        <f t="shared" si="89"/>
        <v>-6</v>
      </c>
      <c r="O88">
        <f t="shared" si="89"/>
        <v>5</v>
      </c>
      <c r="P88">
        <f t="shared" si="89"/>
        <v>-1</v>
      </c>
      <c r="Q88">
        <f t="shared" si="89"/>
        <v>6</v>
      </c>
      <c r="R88">
        <f t="shared" si="68"/>
        <v>9.375E-2</v>
      </c>
    </row>
    <row r="89" spans="1:18" x14ac:dyDescent="0.25">
      <c r="A89">
        <v>88</v>
      </c>
      <c r="B89" t="s">
        <v>111</v>
      </c>
      <c r="C89">
        <v>1</v>
      </c>
      <c r="D89">
        <v>1</v>
      </c>
      <c r="E89">
        <v>1</v>
      </c>
      <c r="F89">
        <v>-1</v>
      </c>
      <c r="G89">
        <v>1</v>
      </c>
      <c r="H89">
        <v>-1</v>
      </c>
      <c r="I89">
        <v>1</v>
      </c>
      <c r="J89">
        <v>31</v>
      </c>
      <c r="K89">
        <f t="shared" ref="K89:Q89" si="90">J49-J48</f>
        <v>7</v>
      </c>
      <c r="L89">
        <f t="shared" si="90"/>
        <v>19</v>
      </c>
      <c r="M89">
        <f t="shared" si="90"/>
        <v>-1</v>
      </c>
      <c r="N89">
        <f t="shared" si="90"/>
        <v>-6</v>
      </c>
      <c r="O89">
        <f t="shared" si="90"/>
        <v>8</v>
      </c>
      <c r="P89">
        <f t="shared" si="90"/>
        <v>-3</v>
      </c>
      <c r="Q89">
        <f t="shared" si="90"/>
        <v>4</v>
      </c>
      <c r="R89">
        <f t="shared" si="68"/>
        <v>6.25E-2</v>
      </c>
    </row>
    <row r="90" spans="1:18" x14ac:dyDescent="0.25">
      <c r="A90">
        <v>89</v>
      </c>
      <c r="B90" t="s">
        <v>112</v>
      </c>
      <c r="C90">
        <v>-1</v>
      </c>
      <c r="D90">
        <v>-1</v>
      </c>
      <c r="E90">
        <v>-1</v>
      </c>
      <c r="F90">
        <v>1</v>
      </c>
      <c r="G90">
        <v>1</v>
      </c>
      <c r="H90">
        <v>-1</v>
      </c>
      <c r="I90">
        <v>1</v>
      </c>
      <c r="J90">
        <v>18</v>
      </c>
      <c r="K90">
        <f t="shared" ref="K90:Q90" si="91">J51-J50</f>
        <v>2</v>
      </c>
      <c r="L90">
        <f t="shared" si="91"/>
        <v>36</v>
      </c>
      <c r="M90">
        <f t="shared" si="91"/>
        <v>-3</v>
      </c>
      <c r="N90">
        <f t="shared" si="91"/>
        <v>-2</v>
      </c>
      <c r="O90">
        <f t="shared" si="91"/>
        <v>-6</v>
      </c>
      <c r="P90">
        <f t="shared" si="91"/>
        <v>-5</v>
      </c>
      <c r="Q90">
        <f t="shared" si="91"/>
        <v>-4</v>
      </c>
      <c r="R90">
        <f t="shared" si="68"/>
        <v>-6.25E-2</v>
      </c>
    </row>
    <row r="91" spans="1:18" x14ac:dyDescent="0.25">
      <c r="A91">
        <v>90</v>
      </c>
      <c r="B91" t="s">
        <v>113</v>
      </c>
      <c r="C91">
        <v>1</v>
      </c>
      <c r="D91">
        <v>-1</v>
      </c>
      <c r="E91">
        <v>-1</v>
      </c>
      <c r="F91">
        <v>1</v>
      </c>
      <c r="G91">
        <v>1</v>
      </c>
      <c r="H91">
        <v>-1</v>
      </c>
      <c r="I91">
        <v>1</v>
      </c>
      <c r="J91">
        <v>19</v>
      </c>
      <c r="K91">
        <f t="shared" ref="K91:Q91" si="92">J53-J52</f>
        <v>7</v>
      </c>
      <c r="L91">
        <f t="shared" si="92"/>
        <v>37</v>
      </c>
      <c r="M91">
        <f t="shared" si="92"/>
        <v>-3</v>
      </c>
      <c r="N91">
        <f t="shared" si="92"/>
        <v>0</v>
      </c>
      <c r="O91">
        <f t="shared" si="92"/>
        <v>-7</v>
      </c>
      <c r="P91">
        <f t="shared" si="92"/>
        <v>-1</v>
      </c>
      <c r="Q91">
        <f t="shared" si="92"/>
        <v>-6</v>
      </c>
      <c r="R91">
        <f t="shared" si="68"/>
        <v>-9.375E-2</v>
      </c>
    </row>
    <row r="92" spans="1:18" x14ac:dyDescent="0.25">
      <c r="A92">
        <v>91</v>
      </c>
      <c r="B92" t="s">
        <v>114</v>
      </c>
      <c r="C92">
        <v>-1</v>
      </c>
      <c r="D92">
        <v>1</v>
      </c>
      <c r="E92">
        <v>-1</v>
      </c>
      <c r="F92">
        <v>1</v>
      </c>
      <c r="G92">
        <v>1</v>
      </c>
      <c r="H92">
        <v>-1</v>
      </c>
      <c r="I92">
        <v>1</v>
      </c>
      <c r="J92">
        <v>26</v>
      </c>
      <c r="K92">
        <f t="shared" ref="K92:Q92" si="93">J55-J54</f>
        <v>2</v>
      </c>
      <c r="L92">
        <f t="shared" si="93"/>
        <v>33</v>
      </c>
      <c r="M92">
        <f t="shared" si="93"/>
        <v>-1</v>
      </c>
      <c r="N92">
        <f t="shared" si="93"/>
        <v>-1</v>
      </c>
      <c r="O92">
        <f t="shared" si="93"/>
        <v>1</v>
      </c>
      <c r="P92">
        <f t="shared" si="93"/>
        <v>-3</v>
      </c>
      <c r="Q92">
        <f t="shared" si="93"/>
        <v>0</v>
      </c>
      <c r="R92">
        <f t="shared" si="68"/>
        <v>0</v>
      </c>
    </row>
    <row r="93" spans="1:18" x14ac:dyDescent="0.25">
      <c r="A93">
        <v>92</v>
      </c>
      <c r="B93" t="s">
        <v>115</v>
      </c>
      <c r="C93">
        <v>1</v>
      </c>
      <c r="D93">
        <v>1</v>
      </c>
      <c r="E93">
        <v>-1</v>
      </c>
      <c r="F93">
        <v>1</v>
      </c>
      <c r="G93">
        <v>1</v>
      </c>
      <c r="H93">
        <v>-1</v>
      </c>
      <c r="I93">
        <v>1</v>
      </c>
      <c r="J93">
        <v>30</v>
      </c>
      <c r="K93">
        <f t="shared" ref="K93:Q93" si="94">J57-J56</f>
        <v>6</v>
      </c>
      <c r="L93">
        <f t="shared" si="94"/>
        <v>34</v>
      </c>
      <c r="M93">
        <f t="shared" si="94"/>
        <v>0</v>
      </c>
      <c r="N93">
        <f t="shared" si="94"/>
        <v>-2</v>
      </c>
      <c r="O93">
        <f t="shared" si="94"/>
        <v>-8</v>
      </c>
      <c r="P93">
        <f t="shared" si="94"/>
        <v>-1</v>
      </c>
      <c r="Q93">
        <f t="shared" si="94"/>
        <v>-2</v>
      </c>
      <c r="R93">
        <f t="shared" si="68"/>
        <v>-3.125E-2</v>
      </c>
    </row>
    <row r="94" spans="1:18" x14ac:dyDescent="0.25">
      <c r="A94">
        <v>93</v>
      </c>
      <c r="B94" t="s">
        <v>116</v>
      </c>
      <c r="C94">
        <v>-1</v>
      </c>
      <c r="D94">
        <v>-1</v>
      </c>
      <c r="E94">
        <v>1</v>
      </c>
      <c r="F94">
        <v>1</v>
      </c>
      <c r="G94">
        <v>1</v>
      </c>
      <c r="H94">
        <v>-1</v>
      </c>
      <c r="I94">
        <v>1</v>
      </c>
      <c r="J94">
        <v>18</v>
      </c>
      <c r="K94">
        <f t="shared" ref="K94:Q94" si="95">J59-J58</f>
        <v>2</v>
      </c>
      <c r="L94">
        <f t="shared" si="95"/>
        <v>34</v>
      </c>
      <c r="M94">
        <f t="shared" si="95"/>
        <v>-3</v>
      </c>
      <c r="N94">
        <f t="shared" si="95"/>
        <v>0</v>
      </c>
      <c r="O94">
        <f t="shared" si="95"/>
        <v>-6</v>
      </c>
      <c r="P94">
        <f t="shared" si="95"/>
        <v>-1</v>
      </c>
      <c r="Q94">
        <f t="shared" si="95"/>
        <v>4</v>
      </c>
      <c r="R94">
        <f t="shared" si="68"/>
        <v>6.25E-2</v>
      </c>
    </row>
    <row r="95" spans="1:18" x14ac:dyDescent="0.25">
      <c r="A95">
        <v>94</v>
      </c>
      <c r="B95" t="s">
        <v>117</v>
      </c>
      <c r="C95">
        <v>1</v>
      </c>
      <c r="D95">
        <v>-1</v>
      </c>
      <c r="E95">
        <v>1</v>
      </c>
      <c r="F95">
        <v>1</v>
      </c>
      <c r="G95">
        <v>1</v>
      </c>
      <c r="H95">
        <v>-1</v>
      </c>
      <c r="I95">
        <v>1</v>
      </c>
      <c r="J95">
        <v>18</v>
      </c>
      <c r="K95">
        <f t="shared" ref="K95:Q95" si="96">J61-J60</f>
        <v>6</v>
      </c>
      <c r="L95">
        <f t="shared" si="96"/>
        <v>31</v>
      </c>
      <c r="M95">
        <f t="shared" si="96"/>
        <v>-3</v>
      </c>
      <c r="N95">
        <f t="shared" si="96"/>
        <v>-1</v>
      </c>
      <c r="O95">
        <f t="shared" si="96"/>
        <v>-9</v>
      </c>
      <c r="P95">
        <f t="shared" si="96"/>
        <v>-1</v>
      </c>
      <c r="Q95">
        <f t="shared" si="96"/>
        <v>2</v>
      </c>
      <c r="R95">
        <f t="shared" si="68"/>
        <v>3.125E-2</v>
      </c>
    </row>
    <row r="96" spans="1:18" x14ac:dyDescent="0.25">
      <c r="A96">
        <v>95</v>
      </c>
      <c r="B96" t="s">
        <v>118</v>
      </c>
      <c r="C96">
        <v>-1</v>
      </c>
      <c r="D96">
        <v>1</v>
      </c>
      <c r="E96">
        <v>1</v>
      </c>
      <c r="F96">
        <v>1</v>
      </c>
      <c r="G96">
        <v>1</v>
      </c>
      <c r="H96">
        <v>-1</v>
      </c>
      <c r="I96">
        <v>1</v>
      </c>
      <c r="J96">
        <v>25</v>
      </c>
      <c r="K96">
        <f t="shared" ref="K96:Q96" si="97">J63-J62</f>
        <v>2</v>
      </c>
      <c r="L96">
        <f t="shared" si="97"/>
        <v>31</v>
      </c>
      <c r="M96">
        <f t="shared" si="97"/>
        <v>1</v>
      </c>
      <c r="N96">
        <f t="shared" si="97"/>
        <v>-2</v>
      </c>
      <c r="O96">
        <f t="shared" si="97"/>
        <v>-3</v>
      </c>
      <c r="P96">
        <f t="shared" si="97"/>
        <v>1</v>
      </c>
      <c r="Q96">
        <f t="shared" si="97"/>
        <v>4</v>
      </c>
      <c r="R96">
        <f t="shared" si="68"/>
        <v>6.25E-2</v>
      </c>
    </row>
    <row r="97" spans="1:18" x14ac:dyDescent="0.25">
      <c r="A97">
        <v>96</v>
      </c>
      <c r="B97" t="s">
        <v>119</v>
      </c>
      <c r="C97">
        <v>1</v>
      </c>
      <c r="D97">
        <v>1</v>
      </c>
      <c r="E97">
        <v>1</v>
      </c>
      <c r="F97">
        <v>1</v>
      </c>
      <c r="G97">
        <v>1</v>
      </c>
      <c r="H97">
        <v>-1</v>
      </c>
      <c r="I97">
        <v>1</v>
      </c>
      <c r="J97">
        <v>30</v>
      </c>
      <c r="K97">
        <f t="shared" ref="K97:Q97" si="98">J65-J64</f>
        <v>5</v>
      </c>
      <c r="L97">
        <f t="shared" si="98"/>
        <v>28</v>
      </c>
      <c r="M97">
        <f t="shared" si="98"/>
        <v>1</v>
      </c>
      <c r="N97">
        <f t="shared" si="98"/>
        <v>-2</v>
      </c>
      <c r="O97">
        <f t="shared" si="98"/>
        <v>-8</v>
      </c>
      <c r="P97">
        <f t="shared" si="98"/>
        <v>-1</v>
      </c>
      <c r="Q97">
        <f t="shared" si="98"/>
        <v>2</v>
      </c>
      <c r="R97">
        <f t="shared" si="68"/>
        <v>3.125E-2</v>
      </c>
    </row>
    <row r="98" spans="1:18" x14ac:dyDescent="0.25">
      <c r="A98">
        <v>97</v>
      </c>
      <c r="B98" t="s">
        <v>120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1</v>
      </c>
      <c r="I98">
        <v>1</v>
      </c>
      <c r="J98">
        <v>19</v>
      </c>
      <c r="K98">
        <f t="shared" ref="K98:Q98" si="99">J67-J66</f>
        <v>5</v>
      </c>
      <c r="L98">
        <f t="shared" si="99"/>
        <v>1</v>
      </c>
      <c r="M98">
        <f t="shared" si="99"/>
        <v>-1</v>
      </c>
      <c r="N98">
        <f t="shared" si="99"/>
        <v>2</v>
      </c>
      <c r="O98">
        <f t="shared" si="99"/>
        <v>0</v>
      </c>
      <c r="P98">
        <f t="shared" si="99"/>
        <v>-19</v>
      </c>
      <c r="Q98">
        <f t="shared" si="99"/>
        <v>-38</v>
      </c>
      <c r="R98">
        <f t="shared" si="68"/>
        <v>-0.59375</v>
      </c>
    </row>
    <row r="99" spans="1:18" x14ac:dyDescent="0.25">
      <c r="A99">
        <v>98</v>
      </c>
      <c r="B99" t="s">
        <v>121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I99">
        <v>1</v>
      </c>
      <c r="J99">
        <v>26</v>
      </c>
      <c r="K99">
        <f t="shared" ref="K99:Q99" si="100">J69-J68</f>
        <v>6</v>
      </c>
      <c r="L99">
        <f t="shared" si="100"/>
        <v>4</v>
      </c>
      <c r="M99">
        <f t="shared" si="100"/>
        <v>-1</v>
      </c>
      <c r="N99">
        <f t="shared" si="100"/>
        <v>0</v>
      </c>
      <c r="O99">
        <f t="shared" si="100"/>
        <v>3</v>
      </c>
      <c r="P99">
        <f t="shared" si="100"/>
        <v>-19</v>
      </c>
      <c r="Q99">
        <f t="shared" si="100"/>
        <v>0</v>
      </c>
      <c r="R99">
        <f t="shared" ref="R99:R130" si="101">Q99/64</f>
        <v>0</v>
      </c>
    </row>
    <row r="100" spans="1:18" x14ac:dyDescent="0.25">
      <c r="A100">
        <v>99</v>
      </c>
      <c r="B100" t="s">
        <v>122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1</v>
      </c>
      <c r="I100">
        <v>1</v>
      </c>
      <c r="J100">
        <v>36</v>
      </c>
      <c r="K100">
        <f t="shared" ref="K100:Q100" si="102">J71-J70</f>
        <v>2</v>
      </c>
      <c r="L100">
        <f t="shared" si="102"/>
        <v>0</v>
      </c>
      <c r="M100">
        <f t="shared" si="102"/>
        <v>-4</v>
      </c>
      <c r="N100">
        <f t="shared" si="102"/>
        <v>-1</v>
      </c>
      <c r="O100">
        <f t="shared" si="102"/>
        <v>-1</v>
      </c>
      <c r="P100">
        <f t="shared" si="102"/>
        <v>-13</v>
      </c>
      <c r="Q100">
        <f t="shared" si="102"/>
        <v>-10</v>
      </c>
      <c r="R100">
        <f t="shared" si="101"/>
        <v>-0.15625</v>
      </c>
    </row>
    <row r="101" spans="1:18" x14ac:dyDescent="0.25">
      <c r="A101">
        <v>100</v>
      </c>
      <c r="B101" t="s">
        <v>123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1</v>
      </c>
      <c r="I101">
        <v>1</v>
      </c>
      <c r="J101">
        <v>45</v>
      </c>
      <c r="K101">
        <f t="shared" ref="K101:Q101" si="103">J73-J72</f>
        <v>6</v>
      </c>
      <c r="L101">
        <f t="shared" si="103"/>
        <v>3</v>
      </c>
      <c r="M101">
        <f t="shared" si="103"/>
        <v>-4</v>
      </c>
      <c r="N101">
        <f t="shared" si="103"/>
        <v>-2</v>
      </c>
      <c r="O101">
        <f t="shared" si="103"/>
        <v>0</v>
      </c>
      <c r="P101">
        <f t="shared" si="103"/>
        <v>-7</v>
      </c>
      <c r="Q101">
        <f t="shared" si="103"/>
        <v>20</v>
      </c>
      <c r="R101">
        <f t="shared" si="101"/>
        <v>0.3125</v>
      </c>
    </row>
    <row r="102" spans="1:18" x14ac:dyDescent="0.25">
      <c r="A102">
        <v>101</v>
      </c>
      <c r="B102" t="s">
        <v>124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18</v>
      </c>
      <c r="K102">
        <f t="shared" ref="K102:Q102" si="104">J75-J74</f>
        <v>5</v>
      </c>
      <c r="L102">
        <f t="shared" si="104"/>
        <v>4</v>
      </c>
      <c r="M102">
        <f t="shared" si="104"/>
        <v>-1</v>
      </c>
      <c r="N102">
        <f t="shared" si="104"/>
        <v>0</v>
      </c>
      <c r="O102">
        <f t="shared" si="104"/>
        <v>4</v>
      </c>
      <c r="P102">
        <f t="shared" si="104"/>
        <v>1</v>
      </c>
      <c r="Q102">
        <f t="shared" si="104"/>
        <v>14</v>
      </c>
      <c r="R102">
        <f t="shared" si="101"/>
        <v>0.21875</v>
      </c>
    </row>
    <row r="103" spans="1:18" x14ac:dyDescent="0.25">
      <c r="A103">
        <v>102</v>
      </c>
      <c r="B103" t="s">
        <v>125</v>
      </c>
      <c r="C103">
        <v>1</v>
      </c>
      <c r="D103">
        <v>-1</v>
      </c>
      <c r="E103">
        <v>1</v>
      </c>
      <c r="F103">
        <v>-1</v>
      </c>
      <c r="G103">
        <v>-1</v>
      </c>
      <c r="H103">
        <v>1</v>
      </c>
      <c r="I103">
        <v>1</v>
      </c>
      <c r="J103">
        <v>21</v>
      </c>
      <c r="K103">
        <f t="shared" ref="K103:Q103" si="105">J77-J76</f>
        <v>6</v>
      </c>
      <c r="L103">
        <f t="shared" si="105"/>
        <v>4</v>
      </c>
      <c r="M103">
        <f t="shared" si="105"/>
        <v>0</v>
      </c>
      <c r="N103">
        <f t="shared" si="105"/>
        <v>1</v>
      </c>
      <c r="O103">
        <f t="shared" si="105"/>
        <v>1</v>
      </c>
      <c r="P103">
        <f t="shared" si="105"/>
        <v>-3</v>
      </c>
      <c r="Q103">
        <f t="shared" si="105"/>
        <v>12</v>
      </c>
      <c r="R103">
        <f t="shared" si="101"/>
        <v>0.1875</v>
      </c>
    </row>
    <row r="104" spans="1:18" x14ac:dyDescent="0.25">
      <c r="A104">
        <v>103</v>
      </c>
      <c r="B104" t="s">
        <v>126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1</v>
      </c>
      <c r="J104">
        <v>33</v>
      </c>
      <c r="K104">
        <f t="shared" ref="K104:Q104" si="106">J79-J78</f>
        <v>2</v>
      </c>
      <c r="L104">
        <f t="shared" si="106"/>
        <v>4</v>
      </c>
      <c r="M104">
        <f t="shared" si="106"/>
        <v>-3</v>
      </c>
      <c r="N104">
        <f t="shared" si="106"/>
        <v>0</v>
      </c>
      <c r="O104">
        <f t="shared" si="106"/>
        <v>-1</v>
      </c>
      <c r="P104">
        <f t="shared" si="106"/>
        <v>7</v>
      </c>
      <c r="Q104">
        <f t="shared" si="106"/>
        <v>-2</v>
      </c>
      <c r="R104">
        <f t="shared" si="101"/>
        <v>-3.125E-2</v>
      </c>
    </row>
    <row r="105" spans="1:18" x14ac:dyDescent="0.25">
      <c r="A105">
        <v>104</v>
      </c>
      <c r="B105" t="s">
        <v>127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1</v>
      </c>
      <c r="J105">
        <v>43</v>
      </c>
      <c r="K105">
        <f t="shared" ref="K105:Q105" si="107">J81-J80</f>
        <v>6</v>
      </c>
      <c r="L105">
        <f t="shared" si="107"/>
        <v>4</v>
      </c>
      <c r="M105">
        <f t="shared" si="107"/>
        <v>-5</v>
      </c>
      <c r="N105">
        <f t="shared" si="107"/>
        <v>0</v>
      </c>
      <c r="O105">
        <f t="shared" si="107"/>
        <v>0</v>
      </c>
      <c r="P105">
        <f t="shared" si="107"/>
        <v>1</v>
      </c>
      <c r="Q105">
        <f t="shared" si="107"/>
        <v>4</v>
      </c>
      <c r="R105">
        <f t="shared" si="101"/>
        <v>6.25E-2</v>
      </c>
    </row>
    <row r="106" spans="1:18" x14ac:dyDescent="0.25">
      <c r="A106">
        <v>105</v>
      </c>
      <c r="B106" t="s">
        <v>128</v>
      </c>
      <c r="C106">
        <v>-1</v>
      </c>
      <c r="D106">
        <v>-1</v>
      </c>
      <c r="E106">
        <v>-1</v>
      </c>
      <c r="F106">
        <v>1</v>
      </c>
      <c r="G106">
        <v>-1</v>
      </c>
      <c r="H106">
        <v>1</v>
      </c>
      <c r="I106">
        <v>1</v>
      </c>
      <c r="J106">
        <v>19</v>
      </c>
      <c r="K106">
        <f t="shared" ref="K106:Q106" si="108">J83-J82</f>
        <v>1</v>
      </c>
      <c r="L106">
        <f t="shared" si="108"/>
        <v>-1</v>
      </c>
      <c r="M106">
        <f t="shared" si="108"/>
        <v>-1</v>
      </c>
      <c r="N106">
        <f t="shared" si="108"/>
        <v>2</v>
      </c>
      <c r="O106">
        <f t="shared" si="108"/>
        <v>-2</v>
      </c>
      <c r="P106">
        <f t="shared" si="108"/>
        <v>7</v>
      </c>
      <c r="Q106">
        <f t="shared" si="108"/>
        <v>8</v>
      </c>
      <c r="R106">
        <f t="shared" si="101"/>
        <v>0.125</v>
      </c>
    </row>
    <row r="107" spans="1:18" x14ac:dyDescent="0.25">
      <c r="A107">
        <v>106</v>
      </c>
      <c r="B107" t="s">
        <v>129</v>
      </c>
      <c r="C107">
        <v>1</v>
      </c>
      <c r="D107">
        <v>-1</v>
      </c>
      <c r="E107">
        <v>-1</v>
      </c>
      <c r="F107">
        <v>1</v>
      </c>
      <c r="G107">
        <v>-1</v>
      </c>
      <c r="H107">
        <v>1</v>
      </c>
      <c r="I107">
        <v>1</v>
      </c>
      <c r="J107">
        <v>26</v>
      </c>
      <c r="K107">
        <f t="shared" ref="K107:Q107" si="109">J85-J84</f>
        <v>5</v>
      </c>
      <c r="L107">
        <f t="shared" si="109"/>
        <v>2</v>
      </c>
      <c r="M107">
        <f t="shared" si="109"/>
        <v>-1</v>
      </c>
      <c r="N107">
        <f t="shared" si="109"/>
        <v>0</v>
      </c>
      <c r="O107">
        <f t="shared" si="109"/>
        <v>1</v>
      </c>
      <c r="P107">
        <f t="shared" si="109"/>
        <v>7</v>
      </c>
      <c r="Q107">
        <f t="shared" si="109"/>
        <v>-2</v>
      </c>
      <c r="R107">
        <f t="shared" si="101"/>
        <v>-3.125E-2</v>
      </c>
    </row>
    <row r="108" spans="1:18" x14ac:dyDescent="0.25">
      <c r="A108">
        <v>107</v>
      </c>
      <c r="B108" t="s">
        <v>130</v>
      </c>
      <c r="C108">
        <v>-1</v>
      </c>
      <c r="D108">
        <v>1</v>
      </c>
      <c r="E108">
        <v>-1</v>
      </c>
      <c r="F108">
        <v>1</v>
      </c>
      <c r="G108">
        <v>-1</v>
      </c>
      <c r="H108">
        <v>1</v>
      </c>
      <c r="I108">
        <v>1</v>
      </c>
      <c r="J108">
        <v>35</v>
      </c>
      <c r="K108">
        <f t="shared" ref="K108:Q108" si="110">J87-J86</f>
        <v>0</v>
      </c>
      <c r="L108">
        <f t="shared" si="110"/>
        <v>-2</v>
      </c>
      <c r="M108">
        <f t="shared" si="110"/>
        <v>-1</v>
      </c>
      <c r="N108">
        <f t="shared" si="110"/>
        <v>-1</v>
      </c>
      <c r="O108">
        <f t="shared" si="110"/>
        <v>-1</v>
      </c>
      <c r="P108">
        <f t="shared" si="110"/>
        <v>5</v>
      </c>
      <c r="Q108">
        <f t="shared" si="110"/>
        <v>8</v>
      </c>
      <c r="R108">
        <f t="shared" si="101"/>
        <v>0.125</v>
      </c>
    </row>
    <row r="109" spans="1:18" x14ac:dyDescent="0.25">
      <c r="A109">
        <v>108</v>
      </c>
      <c r="B109" t="s">
        <v>131</v>
      </c>
      <c r="C109">
        <v>1</v>
      </c>
      <c r="D109">
        <v>1</v>
      </c>
      <c r="E109">
        <v>-1</v>
      </c>
      <c r="F109">
        <v>1</v>
      </c>
      <c r="G109">
        <v>-1</v>
      </c>
      <c r="H109">
        <v>1</v>
      </c>
      <c r="I109">
        <v>1</v>
      </c>
      <c r="J109">
        <v>43</v>
      </c>
      <c r="K109">
        <f t="shared" ref="K109:Q109" si="111">J89-J88</f>
        <v>5</v>
      </c>
      <c r="L109">
        <f t="shared" si="111"/>
        <v>2</v>
      </c>
      <c r="M109">
        <f t="shared" si="111"/>
        <v>0</v>
      </c>
      <c r="N109">
        <f t="shared" si="111"/>
        <v>0</v>
      </c>
      <c r="O109">
        <f t="shared" si="111"/>
        <v>0</v>
      </c>
      <c r="P109">
        <f t="shared" si="111"/>
        <v>3</v>
      </c>
      <c r="Q109">
        <f t="shared" si="111"/>
        <v>-2</v>
      </c>
      <c r="R109">
        <f t="shared" si="101"/>
        <v>-3.125E-2</v>
      </c>
    </row>
    <row r="110" spans="1:18" x14ac:dyDescent="0.25">
      <c r="A110">
        <v>109</v>
      </c>
      <c r="B110" t="s">
        <v>132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1</v>
      </c>
      <c r="I110">
        <v>1</v>
      </c>
      <c r="J110">
        <v>18</v>
      </c>
      <c r="K110">
        <f t="shared" ref="K110:Q110" si="112">J91-J90</f>
        <v>1</v>
      </c>
      <c r="L110">
        <f t="shared" si="112"/>
        <v>5</v>
      </c>
      <c r="M110">
        <f t="shared" si="112"/>
        <v>1</v>
      </c>
      <c r="N110">
        <f t="shared" si="112"/>
        <v>0</v>
      </c>
      <c r="O110">
        <f t="shared" si="112"/>
        <v>2</v>
      </c>
      <c r="P110">
        <f t="shared" si="112"/>
        <v>-1</v>
      </c>
      <c r="Q110">
        <f t="shared" si="112"/>
        <v>4</v>
      </c>
      <c r="R110">
        <f t="shared" si="101"/>
        <v>6.25E-2</v>
      </c>
    </row>
    <row r="111" spans="1:18" x14ac:dyDescent="0.25">
      <c r="A111">
        <v>110</v>
      </c>
      <c r="B111" t="s">
        <v>133</v>
      </c>
      <c r="C111">
        <v>1</v>
      </c>
      <c r="D111">
        <v>-1</v>
      </c>
      <c r="E111">
        <v>1</v>
      </c>
      <c r="F111">
        <v>1</v>
      </c>
      <c r="G111">
        <v>-1</v>
      </c>
      <c r="H111">
        <v>1</v>
      </c>
      <c r="I111">
        <v>1</v>
      </c>
      <c r="J111">
        <v>21</v>
      </c>
      <c r="K111">
        <f t="shared" ref="K111:Q111" si="113">J93-J92</f>
        <v>4</v>
      </c>
      <c r="L111">
        <f t="shared" si="113"/>
        <v>4</v>
      </c>
      <c r="M111">
        <f t="shared" si="113"/>
        <v>1</v>
      </c>
      <c r="N111">
        <f t="shared" si="113"/>
        <v>1</v>
      </c>
      <c r="O111">
        <f t="shared" si="113"/>
        <v>-1</v>
      </c>
      <c r="P111">
        <f t="shared" si="113"/>
        <v>-9</v>
      </c>
      <c r="Q111">
        <f t="shared" si="113"/>
        <v>2</v>
      </c>
      <c r="R111">
        <f t="shared" si="101"/>
        <v>3.125E-2</v>
      </c>
    </row>
    <row r="112" spans="1:18" x14ac:dyDescent="0.25">
      <c r="A112">
        <v>111</v>
      </c>
      <c r="B112" t="s">
        <v>134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32</v>
      </c>
      <c r="K112">
        <f t="shared" ref="K112:Q112" si="114">J95-J94</f>
        <v>0</v>
      </c>
      <c r="L112">
        <f t="shared" si="114"/>
        <v>4</v>
      </c>
      <c r="M112">
        <f t="shared" si="114"/>
        <v>-3</v>
      </c>
      <c r="N112">
        <f t="shared" si="114"/>
        <v>0</v>
      </c>
      <c r="O112">
        <f t="shared" si="114"/>
        <v>-1</v>
      </c>
      <c r="P112">
        <f t="shared" si="114"/>
        <v>-3</v>
      </c>
      <c r="Q112">
        <f t="shared" si="114"/>
        <v>0</v>
      </c>
      <c r="R112">
        <f t="shared" si="101"/>
        <v>0</v>
      </c>
    </row>
    <row r="113" spans="1:18" x14ac:dyDescent="0.25">
      <c r="A113">
        <v>112</v>
      </c>
      <c r="B113" t="s">
        <v>135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1</v>
      </c>
      <c r="J113">
        <v>41</v>
      </c>
      <c r="K113">
        <f t="shared" ref="K113:Q113" si="115">J97-J96</f>
        <v>5</v>
      </c>
      <c r="L113">
        <f t="shared" si="115"/>
        <v>3</v>
      </c>
      <c r="M113">
        <f t="shared" si="115"/>
        <v>-3</v>
      </c>
      <c r="N113">
        <f t="shared" si="115"/>
        <v>0</v>
      </c>
      <c r="O113">
        <f t="shared" si="115"/>
        <v>0</v>
      </c>
      <c r="P113">
        <f t="shared" si="115"/>
        <v>-5</v>
      </c>
      <c r="Q113">
        <f t="shared" si="115"/>
        <v>-2</v>
      </c>
      <c r="R113">
        <f t="shared" si="101"/>
        <v>-3.125E-2</v>
      </c>
    </row>
    <row r="114" spans="1:18" x14ac:dyDescent="0.25">
      <c r="A114">
        <v>113</v>
      </c>
      <c r="B114" t="s">
        <v>136</v>
      </c>
      <c r="C114">
        <v>-1</v>
      </c>
      <c r="D114">
        <v>-1</v>
      </c>
      <c r="E114">
        <v>-1</v>
      </c>
      <c r="F114">
        <v>-1</v>
      </c>
      <c r="G114">
        <v>1</v>
      </c>
      <c r="H114">
        <v>1</v>
      </c>
      <c r="I114">
        <v>1</v>
      </c>
      <c r="J114">
        <v>18</v>
      </c>
      <c r="K114">
        <f t="shared" ref="K114:Q114" si="116">J99-J98</f>
        <v>7</v>
      </c>
      <c r="L114">
        <f t="shared" si="116"/>
        <v>1</v>
      </c>
      <c r="M114">
        <f t="shared" si="116"/>
        <v>3</v>
      </c>
      <c r="N114">
        <f t="shared" si="116"/>
        <v>0</v>
      </c>
      <c r="O114">
        <f t="shared" si="116"/>
        <v>-2</v>
      </c>
      <c r="P114">
        <f t="shared" si="116"/>
        <v>3</v>
      </c>
      <c r="Q114">
        <f t="shared" si="116"/>
        <v>0</v>
      </c>
      <c r="R114">
        <f t="shared" si="101"/>
        <v>0</v>
      </c>
    </row>
    <row r="115" spans="1:18" x14ac:dyDescent="0.25">
      <c r="A115">
        <v>114</v>
      </c>
      <c r="B115" t="s">
        <v>137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1</v>
      </c>
      <c r="I115">
        <v>1</v>
      </c>
      <c r="J115">
        <v>19</v>
      </c>
      <c r="K115">
        <f t="shared" ref="K115:Q115" si="117">J101-J100</f>
        <v>9</v>
      </c>
      <c r="L115">
        <f t="shared" si="117"/>
        <v>4</v>
      </c>
      <c r="M115">
        <f t="shared" si="117"/>
        <v>3</v>
      </c>
      <c r="N115">
        <f t="shared" si="117"/>
        <v>0</v>
      </c>
      <c r="O115">
        <f t="shared" si="117"/>
        <v>-1</v>
      </c>
      <c r="P115">
        <f t="shared" si="117"/>
        <v>1</v>
      </c>
      <c r="Q115">
        <f t="shared" si="117"/>
        <v>6</v>
      </c>
      <c r="R115">
        <f t="shared" si="101"/>
        <v>9.375E-2</v>
      </c>
    </row>
    <row r="116" spans="1:18" x14ac:dyDescent="0.25">
      <c r="A116">
        <v>115</v>
      </c>
      <c r="B116" t="s">
        <v>138</v>
      </c>
      <c r="C116">
        <v>-1</v>
      </c>
      <c r="D116">
        <v>1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32</v>
      </c>
      <c r="K116">
        <f t="shared" ref="K116:Q116" si="118">J103-J102</f>
        <v>3</v>
      </c>
      <c r="L116">
        <f t="shared" si="118"/>
        <v>1</v>
      </c>
      <c r="M116">
        <f t="shared" si="118"/>
        <v>0</v>
      </c>
      <c r="N116">
        <f t="shared" si="118"/>
        <v>1</v>
      </c>
      <c r="O116">
        <f t="shared" si="118"/>
        <v>1</v>
      </c>
      <c r="P116">
        <f t="shared" si="118"/>
        <v>-3</v>
      </c>
      <c r="Q116">
        <f t="shared" si="118"/>
        <v>-4</v>
      </c>
      <c r="R116">
        <f t="shared" si="101"/>
        <v>-6.25E-2</v>
      </c>
    </row>
    <row r="117" spans="1:18" x14ac:dyDescent="0.25">
      <c r="A117">
        <v>116</v>
      </c>
      <c r="B117" t="s">
        <v>139</v>
      </c>
      <c r="C117">
        <v>1</v>
      </c>
      <c r="D117">
        <v>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39</v>
      </c>
      <c r="K117">
        <f t="shared" ref="K117:Q117" si="119">J105-J104</f>
        <v>10</v>
      </c>
      <c r="L117">
        <f t="shared" si="119"/>
        <v>4</v>
      </c>
      <c r="M117">
        <f t="shared" si="119"/>
        <v>0</v>
      </c>
      <c r="N117">
        <f t="shared" si="119"/>
        <v>-2</v>
      </c>
      <c r="O117">
        <f t="shared" si="119"/>
        <v>0</v>
      </c>
      <c r="P117">
        <f t="shared" si="119"/>
        <v>1</v>
      </c>
      <c r="Q117">
        <f t="shared" si="119"/>
        <v>-6</v>
      </c>
      <c r="R117">
        <f t="shared" si="101"/>
        <v>-9.375E-2</v>
      </c>
    </row>
    <row r="118" spans="1:18" x14ac:dyDescent="0.25">
      <c r="A118">
        <v>117</v>
      </c>
      <c r="B118" t="s">
        <v>140</v>
      </c>
      <c r="C118">
        <v>-1</v>
      </c>
      <c r="D118">
        <v>-1</v>
      </c>
      <c r="E118">
        <v>1</v>
      </c>
      <c r="F118">
        <v>-1</v>
      </c>
      <c r="G118">
        <v>1</v>
      </c>
      <c r="H118">
        <v>1</v>
      </c>
      <c r="I118">
        <v>1</v>
      </c>
      <c r="J118">
        <v>18</v>
      </c>
      <c r="K118">
        <f t="shared" ref="K118:Q118" si="120">J107-J106</f>
        <v>7</v>
      </c>
      <c r="L118">
        <f t="shared" si="120"/>
        <v>4</v>
      </c>
      <c r="M118">
        <f t="shared" si="120"/>
        <v>3</v>
      </c>
      <c r="N118">
        <f t="shared" si="120"/>
        <v>0</v>
      </c>
      <c r="O118">
        <f t="shared" si="120"/>
        <v>-2</v>
      </c>
      <c r="P118">
        <f t="shared" si="120"/>
        <v>3</v>
      </c>
      <c r="Q118">
        <f t="shared" si="120"/>
        <v>0</v>
      </c>
      <c r="R118">
        <f t="shared" si="101"/>
        <v>0</v>
      </c>
    </row>
    <row r="119" spans="1:18" x14ac:dyDescent="0.25">
      <c r="A119">
        <v>118</v>
      </c>
      <c r="B119" t="s">
        <v>141</v>
      </c>
      <c r="C119">
        <v>1</v>
      </c>
      <c r="D119">
        <v>-1</v>
      </c>
      <c r="E119">
        <v>1</v>
      </c>
      <c r="F119">
        <v>-1</v>
      </c>
      <c r="G119">
        <v>1</v>
      </c>
      <c r="H119">
        <v>1</v>
      </c>
      <c r="I119">
        <v>1</v>
      </c>
      <c r="J119">
        <v>19</v>
      </c>
      <c r="K119">
        <f t="shared" ref="K119:Q119" si="121">J109-J108</f>
        <v>8</v>
      </c>
      <c r="L119">
        <f t="shared" si="121"/>
        <v>5</v>
      </c>
      <c r="M119">
        <f t="shared" si="121"/>
        <v>4</v>
      </c>
      <c r="N119">
        <f t="shared" si="121"/>
        <v>1</v>
      </c>
      <c r="O119">
        <f t="shared" si="121"/>
        <v>1</v>
      </c>
      <c r="P119">
        <f t="shared" si="121"/>
        <v>1</v>
      </c>
      <c r="Q119">
        <f t="shared" si="121"/>
        <v>-2</v>
      </c>
      <c r="R119">
        <f t="shared" si="101"/>
        <v>-3.125E-2</v>
      </c>
    </row>
    <row r="120" spans="1:18" x14ac:dyDescent="0.25">
      <c r="A120">
        <v>119</v>
      </c>
      <c r="B120" t="s">
        <v>142</v>
      </c>
      <c r="C120">
        <v>-1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30</v>
      </c>
      <c r="K120">
        <f t="shared" ref="K120:Q120" si="122">J111-J110</f>
        <v>3</v>
      </c>
      <c r="L120">
        <f t="shared" si="122"/>
        <v>3</v>
      </c>
      <c r="M120">
        <f t="shared" si="122"/>
        <v>-1</v>
      </c>
      <c r="N120">
        <f t="shared" si="122"/>
        <v>0</v>
      </c>
      <c r="O120">
        <f t="shared" si="122"/>
        <v>1</v>
      </c>
      <c r="P120">
        <f t="shared" si="122"/>
        <v>-3</v>
      </c>
      <c r="Q120">
        <f t="shared" si="122"/>
        <v>-8</v>
      </c>
      <c r="R120">
        <f t="shared" si="101"/>
        <v>-0.125</v>
      </c>
    </row>
    <row r="121" spans="1:18" x14ac:dyDescent="0.25">
      <c r="A121">
        <v>120</v>
      </c>
      <c r="B121" t="s">
        <v>143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1</v>
      </c>
      <c r="J121">
        <v>38</v>
      </c>
      <c r="K121">
        <f t="shared" ref="K121:Q121" si="123">J113-J112</f>
        <v>9</v>
      </c>
      <c r="L121">
        <f t="shared" si="123"/>
        <v>5</v>
      </c>
      <c r="M121">
        <f t="shared" si="123"/>
        <v>-1</v>
      </c>
      <c r="N121">
        <f t="shared" si="123"/>
        <v>0</v>
      </c>
      <c r="O121">
        <f t="shared" si="123"/>
        <v>0</v>
      </c>
      <c r="P121">
        <f t="shared" si="123"/>
        <v>1</v>
      </c>
      <c r="Q121">
        <f t="shared" si="123"/>
        <v>-2</v>
      </c>
      <c r="R121">
        <f t="shared" si="101"/>
        <v>-3.125E-2</v>
      </c>
    </row>
    <row r="122" spans="1:18" x14ac:dyDescent="0.25">
      <c r="A122">
        <v>121</v>
      </c>
      <c r="B122" t="s">
        <v>144</v>
      </c>
      <c r="C122">
        <v>-1</v>
      </c>
      <c r="D122">
        <v>-1</v>
      </c>
      <c r="E122">
        <v>-1</v>
      </c>
      <c r="F122">
        <v>1</v>
      </c>
      <c r="G122">
        <v>1</v>
      </c>
      <c r="H122">
        <v>1</v>
      </c>
      <c r="I122">
        <v>1</v>
      </c>
      <c r="J122">
        <v>18</v>
      </c>
      <c r="K122">
        <f t="shared" ref="K122:Q122" si="124">J115-J114</f>
        <v>1</v>
      </c>
      <c r="L122">
        <f t="shared" si="124"/>
        <v>2</v>
      </c>
      <c r="M122">
        <f t="shared" si="124"/>
        <v>3</v>
      </c>
      <c r="N122">
        <f t="shared" si="124"/>
        <v>0</v>
      </c>
      <c r="O122">
        <f t="shared" si="124"/>
        <v>0</v>
      </c>
      <c r="P122">
        <f t="shared" si="124"/>
        <v>1</v>
      </c>
      <c r="Q122">
        <f t="shared" si="124"/>
        <v>-2</v>
      </c>
      <c r="R122">
        <f t="shared" si="101"/>
        <v>-3.125E-2</v>
      </c>
    </row>
    <row r="123" spans="1:18" x14ac:dyDescent="0.25">
      <c r="A123">
        <v>122</v>
      </c>
      <c r="B123" t="s">
        <v>145</v>
      </c>
      <c r="C123">
        <v>1</v>
      </c>
      <c r="D123">
        <v>-1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19</v>
      </c>
      <c r="K123">
        <f t="shared" ref="K123:Q123" si="125">J117-J116</f>
        <v>7</v>
      </c>
      <c r="L123">
        <f t="shared" si="125"/>
        <v>7</v>
      </c>
      <c r="M123">
        <f t="shared" si="125"/>
        <v>3</v>
      </c>
      <c r="N123">
        <f t="shared" si="125"/>
        <v>0</v>
      </c>
      <c r="O123">
        <f t="shared" si="125"/>
        <v>-3</v>
      </c>
      <c r="P123">
        <f t="shared" si="125"/>
        <v>-1</v>
      </c>
      <c r="Q123">
        <f t="shared" si="125"/>
        <v>4</v>
      </c>
      <c r="R123">
        <f t="shared" si="101"/>
        <v>6.25E-2</v>
      </c>
    </row>
    <row r="124" spans="1:18" x14ac:dyDescent="0.25">
      <c r="A124">
        <v>123</v>
      </c>
      <c r="B124" t="s">
        <v>146</v>
      </c>
      <c r="C124">
        <v>-1</v>
      </c>
      <c r="D124">
        <v>1</v>
      </c>
      <c r="E124">
        <v>-1</v>
      </c>
      <c r="F124">
        <v>1</v>
      </c>
      <c r="G124">
        <v>1</v>
      </c>
      <c r="H124">
        <v>1</v>
      </c>
      <c r="I124">
        <v>1</v>
      </c>
      <c r="J124">
        <v>31</v>
      </c>
      <c r="K124">
        <f t="shared" ref="K124:Q124" si="126">J119-J118</f>
        <v>1</v>
      </c>
      <c r="L124">
        <f t="shared" si="126"/>
        <v>1</v>
      </c>
      <c r="M124">
        <f t="shared" si="126"/>
        <v>1</v>
      </c>
      <c r="N124">
        <f t="shared" si="126"/>
        <v>1</v>
      </c>
      <c r="O124">
        <f t="shared" si="126"/>
        <v>1</v>
      </c>
      <c r="P124">
        <f t="shared" si="126"/>
        <v>3</v>
      </c>
      <c r="Q124">
        <f t="shared" si="126"/>
        <v>-2</v>
      </c>
      <c r="R124">
        <f t="shared" si="101"/>
        <v>-3.125E-2</v>
      </c>
    </row>
    <row r="125" spans="1:18" x14ac:dyDescent="0.25">
      <c r="A125">
        <v>124</v>
      </c>
      <c r="B125" t="s">
        <v>147</v>
      </c>
      <c r="C125">
        <v>1</v>
      </c>
      <c r="D125">
        <v>1</v>
      </c>
      <c r="E125">
        <v>-1</v>
      </c>
      <c r="F125">
        <v>1</v>
      </c>
      <c r="G125">
        <v>1</v>
      </c>
      <c r="H125">
        <v>1</v>
      </c>
      <c r="I125">
        <v>1</v>
      </c>
      <c r="J125">
        <v>37</v>
      </c>
      <c r="K125">
        <f t="shared" ref="K125:Q125" si="127">J121-J120</f>
        <v>8</v>
      </c>
      <c r="L125">
        <f t="shared" si="127"/>
        <v>6</v>
      </c>
      <c r="M125">
        <f t="shared" si="127"/>
        <v>2</v>
      </c>
      <c r="N125">
        <f t="shared" si="127"/>
        <v>0</v>
      </c>
      <c r="O125">
        <f t="shared" si="127"/>
        <v>0</v>
      </c>
      <c r="P125">
        <f t="shared" si="127"/>
        <v>-1</v>
      </c>
      <c r="Q125">
        <f t="shared" si="127"/>
        <v>4</v>
      </c>
      <c r="R125">
        <f t="shared" si="101"/>
        <v>6.25E-2</v>
      </c>
    </row>
    <row r="126" spans="1:18" x14ac:dyDescent="0.25">
      <c r="A126">
        <v>125</v>
      </c>
      <c r="B126" t="s">
        <v>148</v>
      </c>
      <c r="C126">
        <v>-1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18</v>
      </c>
      <c r="K126">
        <f t="shared" ref="K126:Q126" si="128">J123-J122</f>
        <v>1</v>
      </c>
      <c r="L126">
        <f t="shared" si="128"/>
        <v>6</v>
      </c>
      <c r="M126">
        <f t="shared" si="128"/>
        <v>5</v>
      </c>
      <c r="N126">
        <f t="shared" si="128"/>
        <v>0</v>
      </c>
      <c r="O126">
        <f t="shared" si="128"/>
        <v>0</v>
      </c>
      <c r="P126">
        <f t="shared" si="128"/>
        <v>-3</v>
      </c>
      <c r="Q126">
        <f t="shared" si="128"/>
        <v>-2</v>
      </c>
      <c r="R126">
        <f t="shared" si="101"/>
        <v>-3.125E-2</v>
      </c>
    </row>
    <row r="127" spans="1:18" x14ac:dyDescent="0.25">
      <c r="A127">
        <v>126</v>
      </c>
      <c r="B127" t="s">
        <v>149</v>
      </c>
      <c r="C127">
        <v>1</v>
      </c>
      <c r="D127">
        <v>-1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19</v>
      </c>
      <c r="K127">
        <f t="shared" ref="K127:Q127" si="129">J125-J124</f>
        <v>6</v>
      </c>
      <c r="L127">
        <f t="shared" si="129"/>
        <v>7</v>
      </c>
      <c r="M127">
        <f t="shared" si="129"/>
        <v>5</v>
      </c>
      <c r="N127">
        <f t="shared" si="129"/>
        <v>1</v>
      </c>
      <c r="O127">
        <f t="shared" si="129"/>
        <v>-1</v>
      </c>
      <c r="P127">
        <f t="shared" si="129"/>
        <v>-1</v>
      </c>
      <c r="Q127">
        <f t="shared" si="129"/>
        <v>-4</v>
      </c>
      <c r="R127">
        <f t="shared" si="101"/>
        <v>-6.25E-2</v>
      </c>
    </row>
    <row r="128" spans="1:18" x14ac:dyDescent="0.25">
      <c r="A128">
        <v>127</v>
      </c>
      <c r="B128" t="s">
        <v>150</v>
      </c>
      <c r="C128">
        <v>-1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29</v>
      </c>
      <c r="K128">
        <f t="shared" ref="K128:Q128" si="130">J127-J126</f>
        <v>1</v>
      </c>
      <c r="L128">
        <f t="shared" si="130"/>
        <v>5</v>
      </c>
      <c r="M128">
        <f t="shared" si="130"/>
        <v>1</v>
      </c>
      <c r="N128">
        <f t="shared" si="130"/>
        <v>0</v>
      </c>
      <c r="O128">
        <f t="shared" si="130"/>
        <v>1</v>
      </c>
      <c r="P128">
        <f t="shared" si="130"/>
        <v>-1</v>
      </c>
      <c r="Q128">
        <f t="shared" si="130"/>
        <v>2</v>
      </c>
      <c r="R128">
        <f t="shared" si="101"/>
        <v>3.125E-2</v>
      </c>
    </row>
    <row r="129" spans="1:18" x14ac:dyDescent="0.25">
      <c r="A129">
        <v>128</v>
      </c>
      <c r="B129" t="s">
        <v>151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36</v>
      </c>
      <c r="K129">
        <f t="shared" ref="K129:Q129" si="131">J129-J128</f>
        <v>7</v>
      </c>
      <c r="L129">
        <f t="shared" si="131"/>
        <v>6</v>
      </c>
      <c r="M129">
        <f t="shared" si="131"/>
        <v>1</v>
      </c>
      <c r="N129">
        <f t="shared" si="131"/>
        <v>0</v>
      </c>
      <c r="O129">
        <f t="shared" si="131"/>
        <v>0</v>
      </c>
      <c r="P129">
        <f t="shared" si="131"/>
        <v>-1</v>
      </c>
      <c r="Q129">
        <f t="shared" si="131"/>
        <v>0</v>
      </c>
      <c r="R129">
        <f t="shared" si="10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29"/>
  <sheetViews>
    <sheetView workbookViewId="0"/>
  </sheetViews>
  <sheetFormatPr baseColWidth="10" defaultColWidth="9.140625" defaultRowHeight="15" x14ac:dyDescent="0.25"/>
  <sheetData>
    <row r="1" spans="1:18" x14ac:dyDescent="0.25">
      <c r="A1" t="s">
        <v>202</v>
      </c>
      <c r="B1" t="s">
        <v>203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</row>
    <row r="2" spans="1:18" x14ac:dyDescent="0.25">
      <c r="A2">
        <v>1</v>
      </c>
      <c r="B2" t="s">
        <v>24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12.7</v>
      </c>
      <c r="K2">
        <f t="shared" ref="K2:Q2" si="0">J2+J3</f>
        <v>26.299999999999997</v>
      </c>
      <c r="L2">
        <f t="shared" si="0"/>
        <v>58</v>
      </c>
      <c r="M2">
        <f t="shared" si="0"/>
        <v>116</v>
      </c>
      <c r="N2">
        <f t="shared" si="0"/>
        <v>234.5</v>
      </c>
      <c r="O2">
        <f t="shared" si="0"/>
        <v>468.1</v>
      </c>
      <c r="P2">
        <f t="shared" si="0"/>
        <v>941</v>
      </c>
      <c r="Q2">
        <f t="shared" si="0"/>
        <v>1887.7</v>
      </c>
      <c r="R2">
        <f>Q2/128</f>
        <v>14.74765625</v>
      </c>
    </row>
    <row r="3" spans="1:18" x14ac:dyDescent="0.25">
      <c r="A3">
        <v>2</v>
      </c>
      <c r="B3" t="s">
        <v>25</v>
      </c>
      <c r="C3">
        <v>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13.6</v>
      </c>
      <c r="K3">
        <f t="shared" ref="K3:Q3" si="1">J4+J5</f>
        <v>31.700000000000003</v>
      </c>
      <c r="L3">
        <f t="shared" si="1"/>
        <v>58</v>
      </c>
      <c r="M3">
        <f t="shared" si="1"/>
        <v>118.5</v>
      </c>
      <c r="N3">
        <f t="shared" si="1"/>
        <v>233.6</v>
      </c>
      <c r="O3">
        <f t="shared" si="1"/>
        <v>472.9</v>
      </c>
      <c r="P3">
        <f t="shared" si="1"/>
        <v>946.7</v>
      </c>
      <c r="Q3">
        <f t="shared" si="1"/>
        <v>20.100000000000001</v>
      </c>
      <c r="R3">
        <f t="shared" ref="R3:R34" si="2">Q3/64</f>
        <v>0.31406250000000002</v>
      </c>
    </row>
    <row r="4" spans="1:18" x14ac:dyDescent="0.25">
      <c r="A4">
        <v>3</v>
      </c>
      <c r="B4" t="s">
        <v>26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15.8</v>
      </c>
      <c r="K4">
        <f t="shared" ref="K4:Q4" si="3">J6+J7</f>
        <v>27.2</v>
      </c>
      <c r="L4">
        <f t="shared" si="3"/>
        <v>59.4</v>
      </c>
      <c r="M4">
        <f t="shared" si="3"/>
        <v>115.69999999999999</v>
      </c>
      <c r="N4">
        <f t="shared" si="3"/>
        <v>236.89999999999998</v>
      </c>
      <c r="O4">
        <f t="shared" si="3"/>
        <v>474.40000000000003</v>
      </c>
      <c r="P4">
        <f t="shared" si="3"/>
        <v>14.8</v>
      </c>
      <c r="Q4">
        <f t="shared" si="3"/>
        <v>102.89999999999999</v>
      </c>
      <c r="R4">
        <f t="shared" si="2"/>
        <v>1.6078124999999999</v>
      </c>
    </row>
    <row r="5" spans="1:18" x14ac:dyDescent="0.25">
      <c r="A5">
        <v>4</v>
      </c>
      <c r="B5" t="s">
        <v>27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15.9</v>
      </c>
      <c r="K5">
        <f t="shared" ref="K5:Q5" si="4">J8+J9</f>
        <v>30.8</v>
      </c>
      <c r="L5">
        <f t="shared" si="4"/>
        <v>59.1</v>
      </c>
      <c r="M5">
        <f t="shared" si="4"/>
        <v>117.9</v>
      </c>
      <c r="N5">
        <f t="shared" si="4"/>
        <v>236</v>
      </c>
      <c r="O5">
        <f t="shared" si="4"/>
        <v>472.3</v>
      </c>
      <c r="P5">
        <f t="shared" si="4"/>
        <v>5.3000000000000025</v>
      </c>
      <c r="Q5">
        <f t="shared" si="4"/>
        <v>-43.099999999999987</v>
      </c>
      <c r="R5">
        <f t="shared" si="2"/>
        <v>-0.6734374999999998</v>
      </c>
    </row>
    <row r="6" spans="1:18" x14ac:dyDescent="0.25">
      <c r="A6">
        <v>5</v>
      </c>
      <c r="B6" t="s">
        <v>28</v>
      </c>
      <c r="C6">
        <v>-1</v>
      </c>
      <c r="D6">
        <v>-1</v>
      </c>
      <c r="E6">
        <v>1</v>
      </c>
      <c r="F6">
        <v>-1</v>
      </c>
      <c r="G6">
        <v>-1</v>
      </c>
      <c r="H6">
        <v>-1</v>
      </c>
      <c r="I6">
        <v>-1</v>
      </c>
      <c r="J6">
        <v>12.7</v>
      </c>
      <c r="K6">
        <f t="shared" ref="K6:Q6" si="5">J10+J11</f>
        <v>26</v>
      </c>
      <c r="L6">
        <f t="shared" si="5"/>
        <v>57.8</v>
      </c>
      <c r="M6">
        <f t="shared" si="5"/>
        <v>117.29999999999998</v>
      </c>
      <c r="N6">
        <f t="shared" si="5"/>
        <v>237.3</v>
      </c>
      <c r="O6">
        <f t="shared" si="5"/>
        <v>7.3000000000000025</v>
      </c>
      <c r="P6">
        <f t="shared" si="5"/>
        <v>88.400000000000034</v>
      </c>
      <c r="Q6">
        <f t="shared" si="5"/>
        <v>-0.69999999999998863</v>
      </c>
      <c r="R6">
        <f t="shared" si="2"/>
        <v>-1.0937499999999822E-2</v>
      </c>
    </row>
    <row r="7" spans="1:18" x14ac:dyDescent="0.25">
      <c r="A7">
        <v>6</v>
      </c>
      <c r="B7" t="s">
        <v>29</v>
      </c>
      <c r="C7">
        <v>1</v>
      </c>
      <c r="D7">
        <v>-1</v>
      </c>
      <c r="E7">
        <v>1</v>
      </c>
      <c r="F7">
        <v>-1</v>
      </c>
      <c r="G7">
        <v>-1</v>
      </c>
      <c r="H7">
        <v>-1</v>
      </c>
      <c r="I7">
        <v>-1</v>
      </c>
      <c r="J7">
        <v>14.5</v>
      </c>
      <c r="K7">
        <f t="shared" ref="K7:Q7" si="6">J12+J13</f>
        <v>33.4</v>
      </c>
      <c r="L7">
        <f t="shared" si="6"/>
        <v>57.9</v>
      </c>
      <c r="M7">
        <f t="shared" si="6"/>
        <v>119.6</v>
      </c>
      <c r="N7">
        <f t="shared" si="6"/>
        <v>237.10000000000002</v>
      </c>
      <c r="O7">
        <f t="shared" si="6"/>
        <v>7.4999999999999982</v>
      </c>
      <c r="P7">
        <f t="shared" si="6"/>
        <v>14.499999999999961</v>
      </c>
      <c r="Q7">
        <f t="shared" si="6"/>
        <v>-1.5000000000000018</v>
      </c>
      <c r="R7">
        <f t="shared" si="2"/>
        <v>-2.3437500000000028E-2</v>
      </c>
    </row>
    <row r="8" spans="1:18" x14ac:dyDescent="0.25">
      <c r="A8">
        <v>7</v>
      </c>
      <c r="B8" t="s">
        <v>30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15.9</v>
      </c>
      <c r="K8">
        <f t="shared" ref="K8:Q8" si="7">J14+J15</f>
        <v>26.9</v>
      </c>
      <c r="L8">
        <f t="shared" si="7"/>
        <v>59</v>
      </c>
      <c r="M8">
        <f t="shared" si="7"/>
        <v>117.1</v>
      </c>
      <c r="N8">
        <f t="shared" si="7"/>
        <v>236.10000000000002</v>
      </c>
      <c r="O8">
        <f t="shared" si="7"/>
        <v>3.5999999999999979</v>
      </c>
      <c r="P8">
        <f t="shared" si="7"/>
        <v>-34.599999999999994</v>
      </c>
      <c r="Q8">
        <f t="shared" si="7"/>
        <v>-17.099999999999991</v>
      </c>
      <c r="R8">
        <f t="shared" si="2"/>
        <v>-0.26718749999999986</v>
      </c>
    </row>
    <row r="9" spans="1:18" x14ac:dyDescent="0.25">
      <c r="A9">
        <v>8</v>
      </c>
      <c r="B9" t="s">
        <v>31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-1</v>
      </c>
      <c r="J9">
        <v>14.9</v>
      </c>
      <c r="K9">
        <f t="shared" ref="K9:Q9" si="8">J16+J17</f>
        <v>32.200000000000003</v>
      </c>
      <c r="L9">
        <f t="shared" si="8"/>
        <v>58.9</v>
      </c>
      <c r="M9">
        <f t="shared" si="8"/>
        <v>118.9</v>
      </c>
      <c r="N9">
        <f t="shared" si="8"/>
        <v>236.2</v>
      </c>
      <c r="O9">
        <f t="shared" si="8"/>
        <v>1.7000000000000046</v>
      </c>
      <c r="P9">
        <f t="shared" si="8"/>
        <v>-8.4999999999999947</v>
      </c>
      <c r="Q9">
        <f t="shared" si="8"/>
        <v>-17.900000000000006</v>
      </c>
      <c r="R9">
        <f t="shared" si="2"/>
        <v>-0.27968750000000009</v>
      </c>
    </row>
    <row r="10" spans="1:18" x14ac:dyDescent="0.25">
      <c r="A10">
        <v>9</v>
      </c>
      <c r="B10" t="s">
        <v>32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12.4</v>
      </c>
      <c r="K10">
        <f t="shared" ref="K10:Q10" si="9">J18+J19</f>
        <v>26.4</v>
      </c>
      <c r="L10">
        <f t="shared" si="9"/>
        <v>58.699999999999996</v>
      </c>
      <c r="M10">
        <f t="shared" si="9"/>
        <v>118.80000000000001</v>
      </c>
      <c r="N10">
        <f t="shared" si="9"/>
        <v>3.5000000000000018</v>
      </c>
      <c r="O10">
        <f t="shared" si="9"/>
        <v>42.100000000000016</v>
      </c>
      <c r="P10">
        <f t="shared" si="9"/>
        <v>-0.79999999999999716</v>
      </c>
      <c r="Q10">
        <f t="shared" si="9"/>
        <v>6.9000000000000341</v>
      </c>
      <c r="R10">
        <f t="shared" si="2"/>
        <v>0.10781250000000053</v>
      </c>
    </row>
    <row r="11" spans="1:18" x14ac:dyDescent="0.25">
      <c r="A11">
        <v>10</v>
      </c>
      <c r="B11" t="s">
        <v>33</v>
      </c>
      <c r="C11">
        <v>1</v>
      </c>
      <c r="D11">
        <v>-1</v>
      </c>
      <c r="E11">
        <v>-1</v>
      </c>
      <c r="F11">
        <v>1</v>
      </c>
      <c r="G11">
        <v>-1</v>
      </c>
      <c r="H11">
        <v>-1</v>
      </c>
      <c r="I11">
        <v>-1</v>
      </c>
      <c r="J11">
        <v>13.6</v>
      </c>
      <c r="K11">
        <f t="shared" ref="K11:Q11" si="10">J20+J21</f>
        <v>31.4</v>
      </c>
      <c r="L11">
        <f t="shared" si="10"/>
        <v>58.599999999999994</v>
      </c>
      <c r="M11">
        <f t="shared" si="10"/>
        <v>118.5</v>
      </c>
      <c r="N11">
        <f t="shared" si="10"/>
        <v>3.8000000000000007</v>
      </c>
      <c r="O11">
        <f t="shared" si="10"/>
        <v>46.300000000000011</v>
      </c>
      <c r="P11">
        <f t="shared" si="10"/>
        <v>0.10000000000000853</v>
      </c>
      <c r="Q11">
        <f t="shared" si="10"/>
        <v>0.49999999999998401</v>
      </c>
      <c r="R11">
        <f t="shared" si="2"/>
        <v>7.8124999999997502E-3</v>
      </c>
    </row>
    <row r="12" spans="1:18" x14ac:dyDescent="0.25">
      <c r="A12">
        <v>11</v>
      </c>
      <c r="B12" t="s">
        <v>34</v>
      </c>
      <c r="C12">
        <v>-1</v>
      </c>
      <c r="D12">
        <v>1</v>
      </c>
      <c r="E12">
        <v>-1</v>
      </c>
      <c r="F12">
        <v>1</v>
      </c>
      <c r="G12">
        <v>-1</v>
      </c>
      <c r="H12">
        <v>-1</v>
      </c>
      <c r="I12">
        <v>-1</v>
      </c>
      <c r="J12">
        <v>16.899999999999999</v>
      </c>
      <c r="K12">
        <f t="shared" ref="K12:Q12" si="11">J22+J23</f>
        <v>27.299999999999997</v>
      </c>
      <c r="L12">
        <f t="shared" si="11"/>
        <v>59.9</v>
      </c>
      <c r="M12">
        <f t="shared" si="11"/>
        <v>119</v>
      </c>
      <c r="N12">
        <f t="shared" si="11"/>
        <v>3.4999999999999982</v>
      </c>
      <c r="O12">
        <f t="shared" si="11"/>
        <v>8.1999999999999851</v>
      </c>
      <c r="P12">
        <f t="shared" si="11"/>
        <v>-1.4000000000000057</v>
      </c>
      <c r="Q12">
        <f t="shared" si="11"/>
        <v>15.3</v>
      </c>
      <c r="R12">
        <f t="shared" si="2"/>
        <v>0.23906250000000001</v>
      </c>
    </row>
    <row r="13" spans="1:18" x14ac:dyDescent="0.25">
      <c r="A13">
        <v>12</v>
      </c>
      <c r="B13" t="s">
        <v>35</v>
      </c>
      <c r="C13">
        <v>1</v>
      </c>
      <c r="D13">
        <v>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16.5</v>
      </c>
      <c r="K13">
        <f t="shared" ref="K13:Q13" si="12">J24+J25</f>
        <v>30.6</v>
      </c>
      <c r="L13">
        <f t="shared" si="12"/>
        <v>59.7</v>
      </c>
      <c r="M13">
        <f t="shared" si="12"/>
        <v>118.10000000000001</v>
      </c>
      <c r="N13">
        <f t="shared" si="12"/>
        <v>4</v>
      </c>
      <c r="O13">
        <f t="shared" si="12"/>
        <v>6.2999999999999758</v>
      </c>
      <c r="P13">
        <f t="shared" si="12"/>
        <v>-9.9999999999996092E-2</v>
      </c>
      <c r="Q13">
        <f t="shared" si="12"/>
        <v>-3.8999999999999932</v>
      </c>
      <c r="R13">
        <f t="shared" si="2"/>
        <v>-6.0937499999999895E-2</v>
      </c>
    </row>
    <row r="14" spans="1:18" x14ac:dyDescent="0.25">
      <c r="A14">
        <v>13</v>
      </c>
      <c r="B14" t="s">
        <v>36</v>
      </c>
      <c r="C14">
        <v>-1</v>
      </c>
      <c r="D14">
        <v>-1</v>
      </c>
      <c r="E14">
        <v>1</v>
      </c>
      <c r="F14">
        <v>1</v>
      </c>
      <c r="G14">
        <v>-1</v>
      </c>
      <c r="H14">
        <v>-1</v>
      </c>
      <c r="I14">
        <v>-1</v>
      </c>
      <c r="J14">
        <v>12.4</v>
      </c>
      <c r="K14">
        <f t="shared" ref="K14:Q14" si="13">J26+J27</f>
        <v>26</v>
      </c>
      <c r="L14">
        <f t="shared" si="13"/>
        <v>58.6</v>
      </c>
      <c r="M14">
        <f t="shared" si="13"/>
        <v>118.30000000000001</v>
      </c>
      <c r="N14">
        <f t="shared" si="13"/>
        <v>1.6999999999999993</v>
      </c>
      <c r="O14">
        <f t="shared" si="13"/>
        <v>-17.099999999999994</v>
      </c>
      <c r="P14">
        <f t="shared" si="13"/>
        <v>-15.79999999999999</v>
      </c>
      <c r="Q14">
        <f t="shared" si="13"/>
        <v>-1.4999999999999858</v>
      </c>
      <c r="R14">
        <f t="shared" si="2"/>
        <v>-2.3437499999999778E-2</v>
      </c>
    </row>
    <row r="15" spans="1:18" x14ac:dyDescent="0.25">
      <c r="A15">
        <v>14</v>
      </c>
      <c r="B15" t="s">
        <v>37</v>
      </c>
      <c r="C15">
        <v>1</v>
      </c>
      <c r="D15">
        <v>-1</v>
      </c>
      <c r="E15">
        <v>1</v>
      </c>
      <c r="F15">
        <v>1</v>
      </c>
      <c r="G15">
        <v>-1</v>
      </c>
      <c r="H15">
        <v>-1</v>
      </c>
      <c r="I15">
        <v>-1</v>
      </c>
      <c r="J15">
        <v>14.5</v>
      </c>
      <c r="K15">
        <f t="shared" ref="K15:Q15" si="14">J28+J29</f>
        <v>33</v>
      </c>
      <c r="L15">
        <f t="shared" si="14"/>
        <v>58.5</v>
      </c>
      <c r="M15">
        <f t="shared" si="14"/>
        <v>117.80000000000001</v>
      </c>
      <c r="N15">
        <f t="shared" si="14"/>
        <v>1.8999999999999986</v>
      </c>
      <c r="O15">
        <f t="shared" si="14"/>
        <v>-17.5</v>
      </c>
      <c r="P15">
        <f t="shared" si="14"/>
        <v>-1.3000000000000007</v>
      </c>
      <c r="Q15">
        <f t="shared" si="14"/>
        <v>-0.29999999999999538</v>
      </c>
      <c r="R15">
        <f t="shared" si="2"/>
        <v>-4.6874999999999278E-3</v>
      </c>
    </row>
    <row r="16" spans="1:18" x14ac:dyDescent="0.25">
      <c r="A16">
        <v>15</v>
      </c>
      <c r="B16" t="s">
        <v>38</v>
      </c>
      <c r="C16">
        <v>-1</v>
      </c>
      <c r="D16">
        <v>1</v>
      </c>
      <c r="E16">
        <v>1</v>
      </c>
      <c r="F16">
        <v>1</v>
      </c>
      <c r="G16">
        <v>-1</v>
      </c>
      <c r="H16">
        <v>-1</v>
      </c>
      <c r="I16">
        <v>-1</v>
      </c>
      <c r="J16">
        <v>16.7</v>
      </c>
      <c r="K16">
        <f t="shared" ref="K16:Q16" si="15">J30+J31</f>
        <v>26.9</v>
      </c>
      <c r="L16">
        <f t="shared" si="15"/>
        <v>59.5</v>
      </c>
      <c r="M16">
        <f t="shared" si="15"/>
        <v>118.2</v>
      </c>
      <c r="N16">
        <f t="shared" si="15"/>
        <v>0.30000000000000249</v>
      </c>
      <c r="O16">
        <f t="shared" si="15"/>
        <v>-3.3999999999999986</v>
      </c>
      <c r="P16">
        <f t="shared" si="15"/>
        <v>-16.400000000000006</v>
      </c>
      <c r="Q16">
        <f t="shared" si="15"/>
        <v>-2.3000000000000007</v>
      </c>
      <c r="R16">
        <f t="shared" si="2"/>
        <v>-3.5937500000000011E-2</v>
      </c>
    </row>
    <row r="17" spans="1:18" x14ac:dyDescent="0.25">
      <c r="A17">
        <v>16</v>
      </c>
      <c r="B17" t="s">
        <v>39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15.5</v>
      </c>
      <c r="K17">
        <f t="shared" ref="K17:Q17" si="16">J32+J33</f>
        <v>32</v>
      </c>
      <c r="L17">
        <f t="shared" si="16"/>
        <v>59.4</v>
      </c>
      <c r="M17">
        <f t="shared" si="16"/>
        <v>118</v>
      </c>
      <c r="N17">
        <f t="shared" si="16"/>
        <v>1.4000000000000021</v>
      </c>
      <c r="O17">
        <f t="shared" si="16"/>
        <v>-5.0999999999999961</v>
      </c>
      <c r="P17">
        <f t="shared" si="16"/>
        <v>-1.5000000000000018</v>
      </c>
      <c r="Q17">
        <f t="shared" si="16"/>
        <v>-1.0999999999999996</v>
      </c>
      <c r="R17">
        <f t="shared" si="2"/>
        <v>-1.7187499999999994E-2</v>
      </c>
    </row>
    <row r="18" spans="1:18" x14ac:dyDescent="0.25">
      <c r="A18">
        <v>17</v>
      </c>
      <c r="B18" t="s">
        <v>40</v>
      </c>
      <c r="C18">
        <v>-1</v>
      </c>
      <c r="D18">
        <v>-1</v>
      </c>
      <c r="E18">
        <v>-1</v>
      </c>
      <c r="F18">
        <v>-1</v>
      </c>
      <c r="G18">
        <v>1</v>
      </c>
      <c r="H18">
        <v>-1</v>
      </c>
      <c r="I18">
        <v>-1</v>
      </c>
      <c r="J18">
        <v>12.7</v>
      </c>
      <c r="K18">
        <f t="shared" ref="K18:Q18" si="17">J34+J35</f>
        <v>26.299999999999997</v>
      </c>
      <c r="L18">
        <f t="shared" si="17"/>
        <v>59.300000000000004</v>
      </c>
      <c r="M18">
        <f t="shared" si="17"/>
        <v>1.8000000000000007</v>
      </c>
      <c r="N18">
        <f t="shared" si="17"/>
        <v>21.70000000000001</v>
      </c>
      <c r="O18">
        <f t="shared" si="17"/>
        <v>-0.29999999999999716</v>
      </c>
      <c r="P18">
        <f t="shared" si="17"/>
        <v>8.8000000000000398</v>
      </c>
      <c r="Q18">
        <f t="shared" si="17"/>
        <v>-1.9000000000000057</v>
      </c>
      <c r="R18">
        <f t="shared" si="2"/>
        <v>-2.9687500000000089E-2</v>
      </c>
    </row>
    <row r="19" spans="1:18" x14ac:dyDescent="0.25">
      <c r="A19">
        <v>18</v>
      </c>
      <c r="B19" t="s">
        <v>41</v>
      </c>
      <c r="C19">
        <v>1</v>
      </c>
      <c r="D19">
        <v>-1</v>
      </c>
      <c r="E19">
        <v>-1</v>
      </c>
      <c r="F19">
        <v>-1</v>
      </c>
      <c r="G19">
        <v>1</v>
      </c>
      <c r="H19">
        <v>-1</v>
      </c>
      <c r="I19">
        <v>-1</v>
      </c>
      <c r="J19">
        <v>13.7</v>
      </c>
      <c r="K19">
        <f t="shared" ref="K19:Q19" si="18">J36+J37</f>
        <v>32.4</v>
      </c>
      <c r="L19">
        <f t="shared" si="18"/>
        <v>59.5</v>
      </c>
      <c r="M19">
        <f t="shared" si="18"/>
        <v>1.7000000000000011</v>
      </c>
      <c r="N19">
        <f t="shared" si="18"/>
        <v>20.400000000000006</v>
      </c>
      <c r="O19">
        <f t="shared" si="18"/>
        <v>-0.5</v>
      </c>
      <c r="P19">
        <f t="shared" si="18"/>
        <v>-1.9000000000000057</v>
      </c>
      <c r="Q19">
        <f t="shared" si="18"/>
        <v>2.0999999999999996</v>
      </c>
      <c r="R19">
        <f t="shared" si="2"/>
        <v>3.2812499999999994E-2</v>
      </c>
    </row>
    <row r="20" spans="1:18" x14ac:dyDescent="0.25">
      <c r="A20">
        <v>19</v>
      </c>
      <c r="B20" t="s">
        <v>42</v>
      </c>
      <c r="C20">
        <v>-1</v>
      </c>
      <c r="D20">
        <v>1</v>
      </c>
      <c r="E20">
        <v>-1</v>
      </c>
      <c r="F20">
        <v>-1</v>
      </c>
      <c r="G20">
        <v>1</v>
      </c>
      <c r="H20">
        <v>-1</v>
      </c>
      <c r="I20">
        <v>-1</v>
      </c>
      <c r="J20">
        <v>15.6</v>
      </c>
      <c r="K20">
        <f t="shared" ref="K20:Q20" si="19">J38+J39</f>
        <v>27.299999999999997</v>
      </c>
      <c r="L20">
        <f t="shared" si="19"/>
        <v>59.3</v>
      </c>
      <c r="M20">
        <f t="shared" si="19"/>
        <v>2.1000000000000014</v>
      </c>
      <c r="N20">
        <f t="shared" si="19"/>
        <v>23.900000000000006</v>
      </c>
      <c r="O20">
        <f t="shared" si="19"/>
        <v>7.1054273576010019E-15</v>
      </c>
      <c r="P20">
        <f t="shared" si="19"/>
        <v>-0.60000000000000853</v>
      </c>
      <c r="Q20">
        <f t="shared" si="19"/>
        <v>-3.1000000000000085</v>
      </c>
      <c r="R20">
        <f t="shared" si="2"/>
        <v>-4.8437500000000133E-2</v>
      </c>
    </row>
    <row r="21" spans="1:18" x14ac:dyDescent="0.25">
      <c r="A21">
        <v>20</v>
      </c>
      <c r="B21" t="s">
        <v>43</v>
      </c>
      <c r="C21">
        <v>1</v>
      </c>
      <c r="D21">
        <v>1</v>
      </c>
      <c r="E21">
        <v>-1</v>
      </c>
      <c r="F21">
        <v>-1</v>
      </c>
      <c r="G21">
        <v>1</v>
      </c>
      <c r="H21">
        <v>-1</v>
      </c>
      <c r="I21">
        <v>-1</v>
      </c>
      <c r="J21">
        <v>15.8</v>
      </c>
      <c r="K21">
        <f t="shared" ref="K21:Q21" si="20">J40+J41</f>
        <v>31.299999999999997</v>
      </c>
      <c r="L21">
        <f t="shared" si="20"/>
        <v>59.2</v>
      </c>
      <c r="M21">
        <f t="shared" si="20"/>
        <v>1.6999999999999993</v>
      </c>
      <c r="N21">
        <f t="shared" si="20"/>
        <v>22.400000000000006</v>
      </c>
      <c r="O21">
        <f t="shared" si="20"/>
        <v>0.10000000000000142</v>
      </c>
      <c r="P21">
        <f t="shared" si="20"/>
        <v>1.0999999999999925</v>
      </c>
      <c r="Q21">
        <f t="shared" si="20"/>
        <v>0.8999999999999968</v>
      </c>
      <c r="R21">
        <f t="shared" si="2"/>
        <v>1.406249999999995E-2</v>
      </c>
    </row>
    <row r="22" spans="1:18" x14ac:dyDescent="0.25">
      <c r="A22">
        <v>21</v>
      </c>
      <c r="B22" t="s">
        <v>44</v>
      </c>
      <c r="C22">
        <v>-1</v>
      </c>
      <c r="D22">
        <v>-1</v>
      </c>
      <c r="E22">
        <v>1</v>
      </c>
      <c r="F22">
        <v>-1</v>
      </c>
      <c r="G22">
        <v>1</v>
      </c>
      <c r="H22">
        <v>-1</v>
      </c>
      <c r="I22">
        <v>-1</v>
      </c>
      <c r="J22">
        <v>12.7</v>
      </c>
      <c r="K22">
        <f t="shared" ref="K22:Q22" si="21">J42+J43</f>
        <v>25.9</v>
      </c>
      <c r="L22">
        <f t="shared" si="21"/>
        <v>59.4</v>
      </c>
      <c r="M22">
        <f t="shared" si="21"/>
        <v>1.7000000000000011</v>
      </c>
      <c r="N22">
        <f t="shared" si="21"/>
        <v>4.0999999999999943</v>
      </c>
      <c r="O22">
        <f t="shared" si="21"/>
        <v>-0.30000000000000249</v>
      </c>
      <c r="P22">
        <f t="shared" si="21"/>
        <v>14.599999999999987</v>
      </c>
      <c r="Q22">
        <f t="shared" si="21"/>
        <v>9.9999999999994316E-2</v>
      </c>
      <c r="R22">
        <f t="shared" si="2"/>
        <v>1.5624999999999112E-3</v>
      </c>
    </row>
    <row r="23" spans="1:18" x14ac:dyDescent="0.25">
      <c r="A23">
        <v>22</v>
      </c>
      <c r="B23" t="s">
        <v>45</v>
      </c>
      <c r="C23">
        <v>1</v>
      </c>
      <c r="D23">
        <v>-1</v>
      </c>
      <c r="E23">
        <v>1</v>
      </c>
      <c r="F23">
        <v>-1</v>
      </c>
      <c r="G23">
        <v>1</v>
      </c>
      <c r="H23">
        <v>-1</v>
      </c>
      <c r="I23">
        <v>-1</v>
      </c>
      <c r="J23">
        <v>14.6</v>
      </c>
      <c r="K23">
        <f t="shared" ref="K23:Q23" si="22">J44+J45</f>
        <v>34</v>
      </c>
      <c r="L23">
        <f t="shared" si="22"/>
        <v>59.6</v>
      </c>
      <c r="M23">
        <f t="shared" si="22"/>
        <v>1.7999999999999972</v>
      </c>
      <c r="N23">
        <f t="shared" si="22"/>
        <v>4.0999999999999908</v>
      </c>
      <c r="O23">
        <f t="shared" si="22"/>
        <v>-1.1000000000000032</v>
      </c>
      <c r="P23">
        <f t="shared" si="22"/>
        <v>0.7000000000000135</v>
      </c>
      <c r="Q23">
        <f t="shared" si="22"/>
        <v>-1.0999999999999996</v>
      </c>
      <c r="R23">
        <f t="shared" si="2"/>
        <v>-1.7187499999999994E-2</v>
      </c>
    </row>
    <row r="24" spans="1:18" x14ac:dyDescent="0.25">
      <c r="A24">
        <v>23</v>
      </c>
      <c r="B24" t="s">
        <v>46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15.8</v>
      </c>
      <c r="K24">
        <f t="shared" ref="K24:Q24" si="23">J46+J47</f>
        <v>27</v>
      </c>
      <c r="L24">
        <f t="shared" si="23"/>
        <v>59.2</v>
      </c>
      <c r="M24">
        <f t="shared" si="23"/>
        <v>2.1000000000000014</v>
      </c>
      <c r="N24">
        <f t="shared" si="23"/>
        <v>3.2999999999999901</v>
      </c>
      <c r="O24">
        <f t="shared" si="23"/>
        <v>3.5527136788005009E-15</v>
      </c>
      <c r="P24">
        <f t="shared" si="23"/>
        <v>-4.3999999999999915</v>
      </c>
      <c r="Q24">
        <f t="shared" si="23"/>
        <v>1.7000000000000064</v>
      </c>
      <c r="R24">
        <f t="shared" si="2"/>
        <v>2.65625000000001E-2</v>
      </c>
    </row>
    <row r="25" spans="1:18" x14ac:dyDescent="0.25">
      <c r="A25">
        <v>24</v>
      </c>
      <c r="B25"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14.8</v>
      </c>
      <c r="K25">
        <f t="shared" ref="K25:Q25" si="24">J48+J49</f>
        <v>32.700000000000003</v>
      </c>
      <c r="L25">
        <f t="shared" si="24"/>
        <v>58.900000000000006</v>
      </c>
      <c r="M25">
        <f t="shared" si="24"/>
        <v>1.8999999999999986</v>
      </c>
      <c r="N25">
        <f t="shared" si="24"/>
        <v>2.9999999999999858</v>
      </c>
      <c r="O25">
        <f t="shared" si="24"/>
        <v>-9.9999999999999645E-2</v>
      </c>
      <c r="P25">
        <f t="shared" si="24"/>
        <v>0.49999999999999822</v>
      </c>
      <c r="Q25">
        <f t="shared" si="24"/>
        <v>0.50000000000000178</v>
      </c>
      <c r="R25">
        <f t="shared" si="2"/>
        <v>7.8125000000000278E-3</v>
      </c>
    </row>
    <row r="26" spans="1:18" x14ac:dyDescent="0.25">
      <c r="A26">
        <v>25</v>
      </c>
      <c r="B26" t="s">
        <v>48</v>
      </c>
      <c r="C26">
        <v>-1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12.4</v>
      </c>
      <c r="K26">
        <f t="shared" ref="K26:Q26" si="25">J50+J51</f>
        <v>26.5</v>
      </c>
      <c r="L26">
        <f t="shared" si="25"/>
        <v>59.1</v>
      </c>
      <c r="M26">
        <f t="shared" si="25"/>
        <v>0.60000000000000142</v>
      </c>
      <c r="N26">
        <f t="shared" si="25"/>
        <v>-8.4999999999999982</v>
      </c>
      <c r="O26">
        <f t="shared" si="25"/>
        <v>-7.4999999999999929</v>
      </c>
      <c r="P26">
        <f t="shared" si="25"/>
        <v>-0.59999999999999432</v>
      </c>
      <c r="Q26">
        <f t="shared" si="25"/>
        <v>-1.0999999999999659</v>
      </c>
      <c r="R26">
        <f t="shared" si="2"/>
        <v>-1.7187499999999467E-2</v>
      </c>
    </row>
    <row r="27" spans="1:18" x14ac:dyDescent="0.25">
      <c r="A27">
        <v>26</v>
      </c>
      <c r="B27" t="s">
        <v>49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13.6</v>
      </c>
      <c r="K27">
        <f t="shared" ref="K27:Q27" si="26">J52+J53</f>
        <v>32.1</v>
      </c>
      <c r="L27">
        <f t="shared" si="26"/>
        <v>59.2</v>
      </c>
      <c r="M27">
        <f t="shared" si="26"/>
        <v>1.0999999999999979</v>
      </c>
      <c r="N27">
        <f t="shared" si="26"/>
        <v>-8.5999999999999979</v>
      </c>
      <c r="O27">
        <f t="shared" si="26"/>
        <v>-8.2999999999999972</v>
      </c>
      <c r="P27">
        <f t="shared" si="26"/>
        <v>-0.89999999999999147</v>
      </c>
      <c r="Q27">
        <f t="shared" si="26"/>
        <v>0.1000000000000032</v>
      </c>
      <c r="R27">
        <f t="shared" si="2"/>
        <v>1.56250000000005E-3</v>
      </c>
    </row>
    <row r="28" spans="1:18" x14ac:dyDescent="0.25">
      <c r="A28">
        <v>27</v>
      </c>
      <c r="B28" t="s">
        <v>50</v>
      </c>
      <c r="C28">
        <v>-1</v>
      </c>
      <c r="D28">
        <v>1</v>
      </c>
      <c r="E28">
        <v>-1</v>
      </c>
      <c r="F28">
        <v>1</v>
      </c>
      <c r="G28">
        <v>1</v>
      </c>
      <c r="H28">
        <v>-1</v>
      </c>
      <c r="I28">
        <v>-1</v>
      </c>
      <c r="J28">
        <v>16.7</v>
      </c>
      <c r="K28">
        <f t="shared" ref="K28:Q28" si="27">J54+J55</f>
        <v>27.299999999999997</v>
      </c>
      <c r="L28">
        <f t="shared" si="27"/>
        <v>58.900000000000006</v>
      </c>
      <c r="M28">
        <f t="shared" si="27"/>
        <v>0.59999999999999964</v>
      </c>
      <c r="N28">
        <f t="shared" si="27"/>
        <v>-8.7000000000000011</v>
      </c>
      <c r="O28">
        <f t="shared" si="27"/>
        <v>-0.59999999999999787</v>
      </c>
      <c r="P28">
        <f t="shared" si="27"/>
        <v>0.40000000000000213</v>
      </c>
      <c r="Q28">
        <f t="shared" si="27"/>
        <v>-1.9000000000000021</v>
      </c>
      <c r="R28">
        <f t="shared" si="2"/>
        <v>-2.9687500000000033E-2</v>
      </c>
    </row>
    <row r="29" spans="1:18" x14ac:dyDescent="0.25">
      <c r="A29">
        <v>28</v>
      </c>
      <c r="B29" t="s">
        <v>51</v>
      </c>
      <c r="C29">
        <v>1</v>
      </c>
      <c r="D29">
        <v>1</v>
      </c>
      <c r="E29">
        <v>-1</v>
      </c>
      <c r="F29">
        <v>1</v>
      </c>
      <c r="G29">
        <v>1</v>
      </c>
      <c r="H29">
        <v>-1</v>
      </c>
      <c r="I29">
        <v>-1</v>
      </c>
      <c r="J29">
        <v>16.3</v>
      </c>
      <c r="K29">
        <f t="shared" ref="K29:Q29" si="28">J56+J57</f>
        <v>31.200000000000003</v>
      </c>
      <c r="L29">
        <f t="shared" si="28"/>
        <v>58.9</v>
      </c>
      <c r="M29">
        <f t="shared" si="28"/>
        <v>1.2999999999999989</v>
      </c>
      <c r="N29">
        <f t="shared" si="28"/>
        <v>-8.8000000000000007</v>
      </c>
      <c r="O29">
        <f t="shared" si="28"/>
        <v>-0.70000000000000284</v>
      </c>
      <c r="P29">
        <f t="shared" si="28"/>
        <v>-0.69999999999999751</v>
      </c>
      <c r="Q29">
        <f t="shared" si="28"/>
        <v>-0.70000000000000107</v>
      </c>
      <c r="R29">
        <f t="shared" si="2"/>
        <v>-1.0937500000000017E-2</v>
      </c>
    </row>
    <row r="30" spans="1:18" x14ac:dyDescent="0.25">
      <c r="A30">
        <v>29</v>
      </c>
      <c r="B30" t="s">
        <v>52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12.4</v>
      </c>
      <c r="K30">
        <f t="shared" ref="K30:Q30" si="29">J58+J59</f>
        <v>26</v>
      </c>
      <c r="L30">
        <f t="shared" si="29"/>
        <v>59.1</v>
      </c>
      <c r="M30">
        <f t="shared" si="29"/>
        <v>0.30000000000000249</v>
      </c>
      <c r="N30">
        <f t="shared" si="29"/>
        <v>-1.8999999999999986</v>
      </c>
      <c r="O30">
        <f t="shared" si="29"/>
        <v>-7.5000000000000053</v>
      </c>
      <c r="P30">
        <f t="shared" si="29"/>
        <v>-1.1999999999999957</v>
      </c>
      <c r="Q30">
        <f t="shared" si="29"/>
        <v>9.9999999999980105E-2</v>
      </c>
      <c r="R30">
        <f t="shared" si="2"/>
        <v>1.5624999999996891E-3</v>
      </c>
    </row>
    <row r="31" spans="1:18" x14ac:dyDescent="0.25">
      <c r="A31">
        <v>30</v>
      </c>
      <c r="B31" t="s">
        <v>53</v>
      </c>
      <c r="C31">
        <v>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14.5</v>
      </c>
      <c r="K31">
        <f t="shared" ref="K31:Q31" si="30">J60+J61</f>
        <v>33.5</v>
      </c>
      <c r="L31">
        <f t="shared" si="30"/>
        <v>59.1</v>
      </c>
      <c r="M31">
        <f t="shared" si="30"/>
        <v>0</v>
      </c>
      <c r="N31">
        <f t="shared" si="30"/>
        <v>-1.5</v>
      </c>
      <c r="O31">
        <f t="shared" si="30"/>
        <v>-8.9</v>
      </c>
      <c r="P31">
        <f t="shared" si="30"/>
        <v>-1.100000000000005</v>
      </c>
      <c r="Q31">
        <f t="shared" si="30"/>
        <v>-0.69999999999999041</v>
      </c>
      <c r="R31">
        <f t="shared" si="2"/>
        <v>-1.093749999999985E-2</v>
      </c>
    </row>
    <row r="32" spans="1:18" x14ac:dyDescent="0.25">
      <c r="A32">
        <v>31</v>
      </c>
      <c r="B32" t="s">
        <v>54</v>
      </c>
      <c r="C32">
        <v>-1</v>
      </c>
      <c r="D32">
        <v>1</v>
      </c>
      <c r="E32">
        <v>1</v>
      </c>
      <c r="F32">
        <v>1</v>
      </c>
      <c r="G32">
        <v>1</v>
      </c>
      <c r="H32">
        <v>-1</v>
      </c>
      <c r="I32">
        <v>-1</v>
      </c>
      <c r="J32">
        <v>16.600000000000001</v>
      </c>
      <c r="K32">
        <f t="shared" ref="K32:Q32" si="31">J62+J63</f>
        <v>27</v>
      </c>
      <c r="L32">
        <f t="shared" si="31"/>
        <v>59</v>
      </c>
      <c r="M32">
        <f t="shared" si="31"/>
        <v>0.60000000000000142</v>
      </c>
      <c r="N32">
        <f t="shared" si="31"/>
        <v>-2.8999999999999968</v>
      </c>
      <c r="O32">
        <f t="shared" si="31"/>
        <v>-0.60000000000000142</v>
      </c>
      <c r="P32">
        <f t="shared" si="31"/>
        <v>-0.19999999999999929</v>
      </c>
      <c r="Q32">
        <f t="shared" si="31"/>
        <v>0.49999999999998224</v>
      </c>
      <c r="R32">
        <f t="shared" si="2"/>
        <v>7.8124999999997224E-3</v>
      </c>
    </row>
    <row r="33" spans="1:18" x14ac:dyDescent="0.25">
      <c r="A33">
        <v>32</v>
      </c>
      <c r="B33" t="s">
        <v>55</v>
      </c>
      <c r="C33">
        <v>1</v>
      </c>
      <c r="D33">
        <v>1</v>
      </c>
      <c r="E33">
        <v>1</v>
      </c>
      <c r="F33">
        <v>1</v>
      </c>
      <c r="G33">
        <v>1</v>
      </c>
      <c r="H33">
        <v>-1</v>
      </c>
      <c r="I33">
        <v>-1</v>
      </c>
      <c r="J33">
        <v>15.4</v>
      </c>
      <c r="K33">
        <f t="shared" ref="K33:Q33" si="32">J64+J65</f>
        <v>32.4</v>
      </c>
      <c r="L33">
        <f t="shared" si="32"/>
        <v>59</v>
      </c>
      <c r="M33">
        <f t="shared" si="32"/>
        <v>0.80000000000000071</v>
      </c>
      <c r="N33">
        <f t="shared" si="32"/>
        <v>-2.1999999999999993</v>
      </c>
      <c r="O33">
        <f t="shared" si="32"/>
        <v>-0.90000000000000036</v>
      </c>
      <c r="P33">
        <f t="shared" si="32"/>
        <v>-0.90000000000000036</v>
      </c>
      <c r="Q33">
        <f t="shared" si="32"/>
        <v>-0.29999999999998472</v>
      </c>
      <c r="R33">
        <f t="shared" si="2"/>
        <v>-4.6874999999997613E-3</v>
      </c>
    </row>
    <row r="34" spans="1:18" x14ac:dyDescent="0.25">
      <c r="A34">
        <v>33</v>
      </c>
      <c r="B34" t="s">
        <v>56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1</v>
      </c>
      <c r="I34">
        <v>-1</v>
      </c>
      <c r="J34">
        <v>12.7</v>
      </c>
      <c r="K34">
        <f t="shared" ref="K34:Q34" si="33">J66+J67</f>
        <v>29.200000000000003</v>
      </c>
      <c r="L34">
        <f t="shared" si="33"/>
        <v>1</v>
      </c>
      <c r="M34">
        <f t="shared" si="33"/>
        <v>9.0000000000000071</v>
      </c>
      <c r="N34">
        <f t="shared" si="33"/>
        <v>-0.29999999999999716</v>
      </c>
      <c r="O34">
        <f t="shared" si="33"/>
        <v>4.7000000000000171</v>
      </c>
      <c r="P34">
        <f t="shared" si="33"/>
        <v>-1.7999999999999829</v>
      </c>
      <c r="Q34">
        <f t="shared" si="33"/>
        <v>2.6999999999999318</v>
      </c>
      <c r="R34">
        <f t="shared" si="2"/>
        <v>4.2187499999998934E-2</v>
      </c>
    </row>
    <row r="35" spans="1:18" x14ac:dyDescent="0.25">
      <c r="A35">
        <v>34</v>
      </c>
      <c r="B35" t="s">
        <v>57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I35">
        <v>-1</v>
      </c>
      <c r="J35">
        <v>13.6</v>
      </c>
      <c r="K35">
        <f t="shared" ref="K35:Q35" si="34">J68+J69</f>
        <v>30.1</v>
      </c>
      <c r="L35">
        <f t="shared" si="34"/>
        <v>0.80000000000000071</v>
      </c>
      <c r="M35">
        <f t="shared" si="34"/>
        <v>12.700000000000003</v>
      </c>
      <c r="N35">
        <f t="shared" si="34"/>
        <v>0</v>
      </c>
      <c r="O35">
        <f t="shared" si="34"/>
        <v>4.1000000000000227</v>
      </c>
      <c r="P35">
        <f t="shared" si="34"/>
        <v>-0.10000000000002274</v>
      </c>
      <c r="Q35">
        <f t="shared" si="34"/>
        <v>-1.6999999999999975</v>
      </c>
      <c r="R35">
        <f t="shared" ref="R35:R66" si="35">Q35/64</f>
        <v>-2.6562499999999961E-2</v>
      </c>
    </row>
    <row r="36" spans="1:18" x14ac:dyDescent="0.25">
      <c r="A36">
        <v>35</v>
      </c>
      <c r="B36" t="s">
        <v>58</v>
      </c>
      <c r="C36">
        <v>-1</v>
      </c>
      <c r="D36">
        <v>1</v>
      </c>
      <c r="E36">
        <v>-1</v>
      </c>
      <c r="F36">
        <v>-1</v>
      </c>
      <c r="G36">
        <v>-1</v>
      </c>
      <c r="H36">
        <v>1</v>
      </c>
      <c r="I36">
        <v>-1</v>
      </c>
      <c r="J36">
        <v>16.2</v>
      </c>
      <c r="K36">
        <f t="shared" ref="K36:Q36" si="36">J70+J71</f>
        <v>29.3</v>
      </c>
      <c r="L36">
        <f t="shared" si="36"/>
        <v>0.80000000000000071</v>
      </c>
      <c r="M36">
        <f t="shared" si="36"/>
        <v>8.3000000000000043</v>
      </c>
      <c r="N36">
        <f t="shared" si="36"/>
        <v>-0.29999999999999716</v>
      </c>
      <c r="O36">
        <f t="shared" si="36"/>
        <v>-1.2000000000000028</v>
      </c>
      <c r="P36">
        <f t="shared" si="36"/>
        <v>0.80000000000000071</v>
      </c>
      <c r="Q36">
        <f t="shared" si="36"/>
        <v>2.2999999999999865</v>
      </c>
      <c r="R36">
        <f t="shared" si="35"/>
        <v>3.5937499999999789E-2</v>
      </c>
    </row>
    <row r="37" spans="1:18" x14ac:dyDescent="0.25">
      <c r="A37">
        <v>36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-1</v>
      </c>
      <c r="J37">
        <v>16.2</v>
      </c>
      <c r="K37">
        <f t="shared" ref="K37:Q37" si="37">J72+J73</f>
        <v>30.2</v>
      </c>
      <c r="L37">
        <f t="shared" si="37"/>
        <v>0.90000000000000036</v>
      </c>
      <c r="M37">
        <f t="shared" si="37"/>
        <v>12.100000000000001</v>
      </c>
      <c r="N37">
        <f t="shared" si="37"/>
        <v>-0.20000000000000284</v>
      </c>
      <c r="O37">
        <f t="shared" si="37"/>
        <v>-0.70000000000000284</v>
      </c>
      <c r="P37">
        <f t="shared" si="37"/>
        <v>1.2999999999999989</v>
      </c>
      <c r="Q37">
        <f t="shared" si="37"/>
        <v>-2.1000000000000032</v>
      </c>
      <c r="R37">
        <f t="shared" si="35"/>
        <v>-3.281250000000005E-2</v>
      </c>
    </row>
    <row r="38" spans="1:18" x14ac:dyDescent="0.25">
      <c r="A38">
        <v>37</v>
      </c>
      <c r="B38" t="s">
        <v>60</v>
      </c>
      <c r="C38">
        <v>-1</v>
      </c>
      <c r="D38">
        <v>-1</v>
      </c>
      <c r="E38">
        <v>1</v>
      </c>
      <c r="F38">
        <v>-1</v>
      </c>
      <c r="G38">
        <v>-1</v>
      </c>
      <c r="H38">
        <v>1</v>
      </c>
      <c r="I38">
        <v>-1</v>
      </c>
      <c r="J38">
        <v>12.7</v>
      </c>
      <c r="K38">
        <f t="shared" ref="K38:Q38" si="38">J74+J75</f>
        <v>29</v>
      </c>
      <c r="L38">
        <f t="shared" si="38"/>
        <v>1.2000000000000011</v>
      </c>
      <c r="M38">
        <f t="shared" si="38"/>
        <v>10.100000000000001</v>
      </c>
      <c r="N38">
        <f t="shared" si="38"/>
        <v>0.10000000000000142</v>
      </c>
      <c r="O38">
        <f t="shared" si="38"/>
        <v>-0.50000000000000178</v>
      </c>
      <c r="P38">
        <f t="shared" si="38"/>
        <v>-2.8000000000000043</v>
      </c>
      <c r="Q38">
        <f t="shared" si="38"/>
        <v>-0.10000000000000853</v>
      </c>
      <c r="R38">
        <f t="shared" si="35"/>
        <v>-1.5625000000001332E-3</v>
      </c>
    </row>
    <row r="39" spans="1:18" x14ac:dyDescent="0.25">
      <c r="A39">
        <v>38</v>
      </c>
      <c r="B39" t="s">
        <v>61</v>
      </c>
      <c r="C39">
        <v>1</v>
      </c>
      <c r="D39">
        <v>-1</v>
      </c>
      <c r="E39">
        <v>1</v>
      </c>
      <c r="F39">
        <v>-1</v>
      </c>
      <c r="G39">
        <v>-1</v>
      </c>
      <c r="H39">
        <v>1</v>
      </c>
      <c r="I39">
        <v>-1</v>
      </c>
      <c r="J39">
        <v>14.6</v>
      </c>
      <c r="K39">
        <f t="shared" ref="K39:Q39" si="39">J76+J77</f>
        <v>30.299999999999997</v>
      </c>
      <c r="L39">
        <f t="shared" si="39"/>
        <v>0.90000000000000036</v>
      </c>
      <c r="M39">
        <f t="shared" si="39"/>
        <v>13.800000000000004</v>
      </c>
      <c r="N39">
        <f t="shared" si="39"/>
        <v>-9.9999999999994316E-2</v>
      </c>
      <c r="O39">
        <f t="shared" si="39"/>
        <v>-0.10000000000000675</v>
      </c>
      <c r="P39">
        <f t="shared" si="39"/>
        <v>-0.30000000000000426</v>
      </c>
      <c r="Q39">
        <f t="shared" si="39"/>
        <v>-0.90000000000000391</v>
      </c>
      <c r="R39">
        <f t="shared" si="35"/>
        <v>-1.4062500000000061E-2</v>
      </c>
    </row>
    <row r="40" spans="1:18" x14ac:dyDescent="0.25">
      <c r="A40">
        <v>39</v>
      </c>
      <c r="B40" t="s">
        <v>62</v>
      </c>
      <c r="C40">
        <v>-1</v>
      </c>
      <c r="D40">
        <v>1</v>
      </c>
      <c r="E40">
        <v>1</v>
      </c>
      <c r="F40">
        <v>-1</v>
      </c>
      <c r="G40">
        <v>-1</v>
      </c>
      <c r="H40">
        <v>1</v>
      </c>
      <c r="I40">
        <v>-1</v>
      </c>
      <c r="J40">
        <v>16.2</v>
      </c>
      <c r="K40">
        <f t="shared" ref="K40:Q40" si="40">J78+J79</f>
        <v>29.1</v>
      </c>
      <c r="L40">
        <f t="shared" si="40"/>
        <v>0.80000000000000071</v>
      </c>
      <c r="M40">
        <f t="shared" si="40"/>
        <v>9.5000000000000071</v>
      </c>
      <c r="N40">
        <f t="shared" si="40"/>
        <v>0.10000000000000142</v>
      </c>
      <c r="O40">
        <f t="shared" si="40"/>
        <v>1.1999999999999957</v>
      </c>
      <c r="P40">
        <f t="shared" si="40"/>
        <v>-0.19999999999999929</v>
      </c>
      <c r="Q40">
        <f t="shared" si="40"/>
        <v>-0.90000000000000924</v>
      </c>
      <c r="R40">
        <f t="shared" si="35"/>
        <v>-1.4062500000000144E-2</v>
      </c>
    </row>
    <row r="41" spans="1:18" x14ac:dyDescent="0.25">
      <c r="A41">
        <v>40</v>
      </c>
      <c r="B41" t="s">
        <v>63</v>
      </c>
      <c r="C41">
        <v>1</v>
      </c>
      <c r="D41">
        <v>1</v>
      </c>
      <c r="E41">
        <v>1</v>
      </c>
      <c r="F41">
        <v>-1</v>
      </c>
      <c r="G41">
        <v>-1</v>
      </c>
      <c r="H41">
        <v>1</v>
      </c>
      <c r="I41">
        <v>-1</v>
      </c>
      <c r="J41">
        <v>15.1</v>
      </c>
      <c r="K41">
        <f t="shared" ref="K41:Q41" si="41">J80+J81</f>
        <v>30.1</v>
      </c>
      <c r="L41">
        <f t="shared" si="41"/>
        <v>0.89999999999999858</v>
      </c>
      <c r="M41">
        <f t="shared" si="41"/>
        <v>12.899999999999999</v>
      </c>
      <c r="N41">
        <f t="shared" si="41"/>
        <v>0</v>
      </c>
      <c r="O41">
        <f t="shared" si="41"/>
        <v>-0.1000000000000032</v>
      </c>
      <c r="P41">
        <f t="shared" si="41"/>
        <v>1.0999999999999961</v>
      </c>
      <c r="Q41">
        <f t="shared" si="41"/>
        <v>-1.699999999999994</v>
      </c>
      <c r="R41">
        <f t="shared" si="35"/>
        <v>-2.6562499999999906E-2</v>
      </c>
    </row>
    <row r="42" spans="1:18" x14ac:dyDescent="0.25">
      <c r="A42">
        <v>41</v>
      </c>
      <c r="B42" t="s">
        <v>64</v>
      </c>
      <c r="C42">
        <v>-1</v>
      </c>
      <c r="D42">
        <v>-1</v>
      </c>
      <c r="E42">
        <v>-1</v>
      </c>
      <c r="F42">
        <v>1</v>
      </c>
      <c r="G42">
        <v>-1</v>
      </c>
      <c r="H42">
        <v>1</v>
      </c>
      <c r="I42">
        <v>-1</v>
      </c>
      <c r="J42">
        <v>12.4</v>
      </c>
      <c r="K42">
        <f t="shared" ref="K42:Q42" si="42">J82+J83</f>
        <v>29.1</v>
      </c>
      <c r="L42">
        <f t="shared" si="42"/>
        <v>0.90000000000000036</v>
      </c>
      <c r="M42">
        <f t="shared" si="42"/>
        <v>1.7999999999999972</v>
      </c>
      <c r="N42">
        <f t="shared" si="42"/>
        <v>-9.9999999999999645E-2</v>
      </c>
      <c r="O42">
        <f t="shared" si="42"/>
        <v>7.4999999999999929</v>
      </c>
      <c r="P42">
        <f t="shared" si="42"/>
        <v>0.39999999999999147</v>
      </c>
      <c r="Q42">
        <f t="shared" si="42"/>
        <v>-9.9999999999994316E-2</v>
      </c>
      <c r="R42">
        <f t="shared" si="35"/>
        <v>-1.5624999999999112E-3</v>
      </c>
    </row>
    <row r="43" spans="1:18" x14ac:dyDescent="0.25">
      <c r="A43">
        <v>42</v>
      </c>
      <c r="B43" t="s">
        <v>65</v>
      </c>
      <c r="C43">
        <v>1</v>
      </c>
      <c r="D43">
        <v>-1</v>
      </c>
      <c r="E43">
        <v>-1</v>
      </c>
      <c r="F43">
        <v>1</v>
      </c>
      <c r="G43">
        <v>-1</v>
      </c>
      <c r="H43">
        <v>1</v>
      </c>
      <c r="I43">
        <v>-1</v>
      </c>
      <c r="J43">
        <v>13.5</v>
      </c>
      <c r="K43">
        <f t="shared" ref="K43:Q43" si="43">J84+J85</f>
        <v>30.299999999999997</v>
      </c>
      <c r="L43">
        <f t="shared" si="43"/>
        <v>0.80000000000000071</v>
      </c>
      <c r="M43">
        <f t="shared" si="43"/>
        <v>2.2999999999999972</v>
      </c>
      <c r="N43">
        <f t="shared" si="43"/>
        <v>-0.20000000000000284</v>
      </c>
      <c r="O43">
        <f t="shared" si="43"/>
        <v>7.0999999999999943</v>
      </c>
      <c r="P43">
        <f t="shared" si="43"/>
        <v>-0.29999999999999716</v>
      </c>
      <c r="Q43">
        <f t="shared" si="43"/>
        <v>-0.90000000000000391</v>
      </c>
      <c r="R43">
        <f t="shared" si="35"/>
        <v>-1.4062500000000061E-2</v>
      </c>
    </row>
    <row r="44" spans="1:18" x14ac:dyDescent="0.25">
      <c r="A44">
        <v>43</v>
      </c>
      <c r="B44" t="s">
        <v>66</v>
      </c>
      <c r="C44">
        <v>-1</v>
      </c>
      <c r="D44">
        <v>1</v>
      </c>
      <c r="E44">
        <v>-1</v>
      </c>
      <c r="F44">
        <v>1</v>
      </c>
      <c r="G44">
        <v>-1</v>
      </c>
      <c r="H44">
        <v>1</v>
      </c>
      <c r="I44">
        <v>-1</v>
      </c>
      <c r="J44">
        <v>17</v>
      </c>
      <c r="K44">
        <f t="shared" ref="K44:Q44" si="44">J86+J87</f>
        <v>29.200000000000003</v>
      </c>
      <c r="L44">
        <f t="shared" si="44"/>
        <v>1.0999999999999996</v>
      </c>
      <c r="M44">
        <f t="shared" si="44"/>
        <v>2.3999999999999915</v>
      </c>
      <c r="N44">
        <f t="shared" si="44"/>
        <v>-0.50000000000000178</v>
      </c>
      <c r="O44">
        <f t="shared" si="44"/>
        <v>-0.19999999999999218</v>
      </c>
      <c r="P44">
        <f t="shared" si="44"/>
        <v>-0.20000000000000284</v>
      </c>
      <c r="Q44">
        <f t="shared" si="44"/>
        <v>0.69999999999999929</v>
      </c>
      <c r="R44">
        <f t="shared" si="35"/>
        <v>1.0937499999999989E-2</v>
      </c>
    </row>
    <row r="45" spans="1:18" x14ac:dyDescent="0.25">
      <c r="A45">
        <v>44</v>
      </c>
      <c r="B45" t="s">
        <v>67</v>
      </c>
      <c r="C45">
        <v>1</v>
      </c>
      <c r="D45">
        <v>1</v>
      </c>
      <c r="E45">
        <v>-1</v>
      </c>
      <c r="F45">
        <v>1</v>
      </c>
      <c r="G45">
        <v>-1</v>
      </c>
      <c r="H45">
        <v>1</v>
      </c>
      <c r="I45">
        <v>-1</v>
      </c>
      <c r="J45">
        <v>17</v>
      </c>
      <c r="K45">
        <f t="shared" ref="K45:Q45" si="45">J88+J89</f>
        <v>30.4</v>
      </c>
      <c r="L45">
        <f t="shared" si="45"/>
        <v>0.69999999999999751</v>
      </c>
      <c r="M45">
        <f t="shared" si="45"/>
        <v>1.6999999999999993</v>
      </c>
      <c r="N45">
        <f t="shared" si="45"/>
        <v>-0.60000000000000142</v>
      </c>
      <c r="O45">
        <f t="shared" si="45"/>
        <v>0.90000000000000568</v>
      </c>
      <c r="P45">
        <f t="shared" si="45"/>
        <v>-0.8999999999999968</v>
      </c>
      <c r="Q45">
        <f t="shared" si="45"/>
        <v>-9.9999999999999645E-2</v>
      </c>
      <c r="R45">
        <f t="shared" si="35"/>
        <v>-1.5624999999999944E-3</v>
      </c>
    </row>
    <row r="46" spans="1:18" x14ac:dyDescent="0.25">
      <c r="A46">
        <v>45</v>
      </c>
      <c r="B46" t="s">
        <v>68</v>
      </c>
      <c r="C46">
        <v>-1</v>
      </c>
      <c r="D46">
        <v>-1</v>
      </c>
      <c r="E46">
        <v>1</v>
      </c>
      <c r="F46">
        <v>1</v>
      </c>
      <c r="G46">
        <v>-1</v>
      </c>
      <c r="H46">
        <v>1</v>
      </c>
      <c r="I46">
        <v>-1</v>
      </c>
      <c r="J46">
        <v>12.4</v>
      </c>
      <c r="K46">
        <f t="shared" ref="K46:Q46" si="46">J90+J91</f>
        <v>29.1</v>
      </c>
      <c r="L46">
        <f t="shared" si="46"/>
        <v>1.2000000000000028</v>
      </c>
      <c r="M46">
        <f t="shared" si="46"/>
        <v>1.2999999999999936</v>
      </c>
      <c r="N46">
        <f t="shared" si="46"/>
        <v>0.10000000000000142</v>
      </c>
      <c r="O46">
        <f t="shared" si="46"/>
        <v>-2.4999999999999947</v>
      </c>
      <c r="P46">
        <f t="shared" si="46"/>
        <v>1.0000000000000071</v>
      </c>
      <c r="Q46">
        <f t="shared" si="46"/>
        <v>1.0999999999999943</v>
      </c>
      <c r="R46">
        <f t="shared" si="35"/>
        <v>1.7187499999999911E-2</v>
      </c>
    </row>
    <row r="47" spans="1:18" x14ac:dyDescent="0.25">
      <c r="A47">
        <v>46</v>
      </c>
      <c r="B47" t="s">
        <v>69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14.6</v>
      </c>
      <c r="K47">
        <f t="shared" ref="K47:Q47" si="47">J92+J93</f>
        <v>30.1</v>
      </c>
      <c r="L47">
        <f t="shared" si="47"/>
        <v>0.89999999999999858</v>
      </c>
      <c r="M47">
        <f t="shared" si="47"/>
        <v>1.9999999999999964</v>
      </c>
      <c r="N47">
        <f t="shared" si="47"/>
        <v>-9.9999999999997868E-2</v>
      </c>
      <c r="O47">
        <f t="shared" si="47"/>
        <v>-1.8999999999999968</v>
      </c>
      <c r="P47">
        <f t="shared" si="47"/>
        <v>0.69999999999999929</v>
      </c>
      <c r="Q47">
        <f t="shared" si="47"/>
        <v>-0.89999999999999325</v>
      </c>
      <c r="R47">
        <f t="shared" si="35"/>
        <v>-1.4062499999999895E-2</v>
      </c>
    </row>
    <row r="48" spans="1:18" x14ac:dyDescent="0.25">
      <c r="A48">
        <v>47</v>
      </c>
      <c r="B48" t="s">
        <v>70</v>
      </c>
      <c r="C48">
        <v>-1</v>
      </c>
      <c r="D48">
        <v>1</v>
      </c>
      <c r="E48">
        <v>1</v>
      </c>
      <c r="F48">
        <v>1</v>
      </c>
      <c r="G48">
        <v>-1</v>
      </c>
      <c r="H48">
        <v>1</v>
      </c>
      <c r="I48">
        <v>-1</v>
      </c>
      <c r="J48">
        <v>17.100000000000001</v>
      </c>
      <c r="K48">
        <f t="shared" ref="K48:Q48" si="48">J94+J95</f>
        <v>29.1</v>
      </c>
      <c r="L48">
        <f t="shared" si="48"/>
        <v>1.0999999999999979</v>
      </c>
      <c r="M48">
        <f t="shared" si="48"/>
        <v>1.3999999999999915</v>
      </c>
      <c r="N48">
        <f t="shared" si="48"/>
        <v>0.29999999999999893</v>
      </c>
      <c r="O48">
        <f t="shared" si="48"/>
        <v>0.59999999999999787</v>
      </c>
      <c r="P48">
        <f t="shared" si="48"/>
        <v>0.39999999999999858</v>
      </c>
      <c r="Q48">
        <f t="shared" si="48"/>
        <v>-0.10000000000001918</v>
      </c>
      <c r="R48">
        <f t="shared" si="35"/>
        <v>-1.5625000000002998E-3</v>
      </c>
    </row>
    <row r="49" spans="1:18" x14ac:dyDescent="0.25">
      <c r="A49">
        <v>48</v>
      </c>
      <c r="B49" t="s">
        <v>71</v>
      </c>
      <c r="C49">
        <v>1</v>
      </c>
      <c r="D49">
        <v>1</v>
      </c>
      <c r="E49">
        <v>1</v>
      </c>
      <c r="F49">
        <v>1</v>
      </c>
      <c r="G49">
        <v>-1</v>
      </c>
      <c r="H49">
        <v>1</v>
      </c>
      <c r="I49">
        <v>-1</v>
      </c>
      <c r="J49">
        <v>15.6</v>
      </c>
      <c r="K49">
        <f t="shared" ref="K49:Q49" si="49">J96+J97</f>
        <v>29.8</v>
      </c>
      <c r="L49">
        <f t="shared" si="49"/>
        <v>0.80000000000000071</v>
      </c>
      <c r="M49">
        <f t="shared" si="49"/>
        <v>1.5999999999999943</v>
      </c>
      <c r="N49">
        <f t="shared" si="49"/>
        <v>-0.39999999999999858</v>
      </c>
      <c r="O49">
        <f t="shared" si="49"/>
        <v>-9.9999999999999645E-2</v>
      </c>
      <c r="P49">
        <f t="shared" si="49"/>
        <v>0.1000000000000032</v>
      </c>
      <c r="Q49">
        <f t="shared" si="49"/>
        <v>-2.0999999999999961</v>
      </c>
      <c r="R49">
        <f t="shared" si="35"/>
        <v>-3.2812499999999939E-2</v>
      </c>
    </row>
    <row r="50" spans="1:18" x14ac:dyDescent="0.25">
      <c r="A50">
        <v>49</v>
      </c>
      <c r="B50" t="s">
        <v>72</v>
      </c>
      <c r="C50">
        <v>-1</v>
      </c>
      <c r="D50">
        <v>-1</v>
      </c>
      <c r="E50">
        <v>-1</v>
      </c>
      <c r="F50">
        <v>-1</v>
      </c>
      <c r="G50">
        <v>1</v>
      </c>
      <c r="H50">
        <v>1</v>
      </c>
      <c r="I50">
        <v>-1</v>
      </c>
      <c r="J50">
        <v>12.7</v>
      </c>
      <c r="K50">
        <f t="shared" ref="K50:Q50" si="50">J98+J99</f>
        <v>29.200000000000003</v>
      </c>
      <c r="L50">
        <f t="shared" si="50"/>
        <v>0.30000000000000071</v>
      </c>
      <c r="M50">
        <f t="shared" si="50"/>
        <v>-3.6000000000000014</v>
      </c>
      <c r="N50">
        <f t="shared" si="50"/>
        <v>-3.8999999999999986</v>
      </c>
      <c r="O50">
        <f t="shared" si="50"/>
        <v>-0.5</v>
      </c>
      <c r="P50">
        <f t="shared" si="50"/>
        <v>-0.79999999999998295</v>
      </c>
      <c r="Q50">
        <f t="shared" si="50"/>
        <v>0.29999999999998295</v>
      </c>
      <c r="R50">
        <f t="shared" si="35"/>
        <v>4.6874999999997335E-3</v>
      </c>
    </row>
    <row r="51" spans="1:18" x14ac:dyDescent="0.25">
      <c r="A51">
        <v>50</v>
      </c>
      <c r="B51" t="s">
        <v>73</v>
      </c>
      <c r="C51">
        <v>1</v>
      </c>
      <c r="D51">
        <v>-1</v>
      </c>
      <c r="E51">
        <v>-1</v>
      </c>
      <c r="F51">
        <v>-1</v>
      </c>
      <c r="G51">
        <v>1</v>
      </c>
      <c r="H51">
        <v>1</v>
      </c>
      <c r="I51">
        <v>-1</v>
      </c>
      <c r="J51">
        <v>13.8</v>
      </c>
      <c r="K51">
        <f t="shared" ref="K51:Q51" si="51">J100+J101</f>
        <v>29.9</v>
      </c>
      <c r="L51">
        <f t="shared" si="51"/>
        <v>0.30000000000000071</v>
      </c>
      <c r="M51">
        <f t="shared" si="51"/>
        <v>-4.8999999999999968</v>
      </c>
      <c r="N51">
        <f t="shared" si="51"/>
        <v>-3.5999999999999943</v>
      </c>
      <c r="O51">
        <f t="shared" si="51"/>
        <v>-9.9999999999994316E-2</v>
      </c>
      <c r="P51">
        <f t="shared" si="51"/>
        <v>-0.29999999999998295</v>
      </c>
      <c r="Q51">
        <f t="shared" si="51"/>
        <v>1.1000000000000032</v>
      </c>
      <c r="R51">
        <f t="shared" si="35"/>
        <v>1.718750000000005E-2</v>
      </c>
    </row>
    <row r="52" spans="1:18" x14ac:dyDescent="0.25">
      <c r="A52">
        <v>51</v>
      </c>
      <c r="B52" t="s">
        <v>74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16</v>
      </c>
      <c r="K52">
        <f t="shared" ref="K52:Q52" si="52">J102+J103</f>
        <v>29.3</v>
      </c>
      <c r="L52">
        <f t="shared" si="52"/>
        <v>0.49999999999999822</v>
      </c>
      <c r="M52">
        <f t="shared" si="52"/>
        <v>-3.6999999999999993</v>
      </c>
      <c r="N52">
        <f t="shared" si="52"/>
        <v>-4.5</v>
      </c>
      <c r="O52">
        <f t="shared" si="52"/>
        <v>-0.79999999999999005</v>
      </c>
      <c r="P52">
        <f t="shared" si="52"/>
        <v>-0.60000000000000142</v>
      </c>
      <c r="Q52">
        <f t="shared" si="52"/>
        <v>-0.5</v>
      </c>
      <c r="R52">
        <f t="shared" si="35"/>
        <v>-7.8125E-3</v>
      </c>
    </row>
    <row r="53" spans="1:18" x14ac:dyDescent="0.25">
      <c r="A53">
        <v>52</v>
      </c>
      <c r="B53" t="s">
        <v>75</v>
      </c>
      <c r="C53">
        <v>1</v>
      </c>
      <c r="D53">
        <v>1</v>
      </c>
      <c r="E53">
        <v>-1</v>
      </c>
      <c r="F53">
        <v>-1</v>
      </c>
      <c r="G53">
        <v>1</v>
      </c>
      <c r="H53">
        <v>1</v>
      </c>
      <c r="I53">
        <v>-1</v>
      </c>
      <c r="J53">
        <v>16.100000000000001</v>
      </c>
      <c r="K53">
        <f t="shared" ref="K53:Q53" si="53">J104+J105</f>
        <v>29.9</v>
      </c>
      <c r="L53">
        <f t="shared" si="53"/>
        <v>0.59999999999999964</v>
      </c>
      <c r="M53">
        <f t="shared" si="53"/>
        <v>-4.8999999999999986</v>
      </c>
      <c r="N53">
        <f t="shared" si="53"/>
        <v>-3.7999999999999972</v>
      </c>
      <c r="O53">
        <f t="shared" si="53"/>
        <v>-0.10000000000000142</v>
      </c>
      <c r="P53">
        <f t="shared" si="53"/>
        <v>0.70000000000000462</v>
      </c>
      <c r="Q53">
        <f t="shared" si="53"/>
        <v>0.29999999999999893</v>
      </c>
      <c r="R53">
        <f t="shared" si="35"/>
        <v>4.6874999999999833E-3</v>
      </c>
    </row>
    <row r="54" spans="1:18" x14ac:dyDescent="0.25">
      <c r="A54">
        <v>53</v>
      </c>
      <c r="B54" t="s">
        <v>76</v>
      </c>
      <c r="C54">
        <v>-1</v>
      </c>
      <c r="D54">
        <v>-1</v>
      </c>
      <c r="E54">
        <v>1</v>
      </c>
      <c r="F54">
        <v>-1</v>
      </c>
      <c r="G54">
        <v>1</v>
      </c>
      <c r="H54">
        <v>1</v>
      </c>
      <c r="I54">
        <v>-1</v>
      </c>
      <c r="J54">
        <v>12.7</v>
      </c>
      <c r="K54">
        <f t="shared" ref="K54:Q54" si="54">J106+J107</f>
        <v>28.8</v>
      </c>
      <c r="L54">
        <f t="shared" si="54"/>
        <v>0.19999999999999929</v>
      </c>
      <c r="M54">
        <f t="shared" si="54"/>
        <v>-3.9000000000000004</v>
      </c>
      <c r="N54">
        <f t="shared" si="54"/>
        <v>-0.29999999999999716</v>
      </c>
      <c r="O54">
        <f t="shared" si="54"/>
        <v>0.69999999999999751</v>
      </c>
      <c r="P54">
        <f t="shared" si="54"/>
        <v>-0.20000000000000995</v>
      </c>
      <c r="Q54">
        <f t="shared" si="54"/>
        <v>-0.10000000000000853</v>
      </c>
      <c r="R54">
        <f t="shared" si="35"/>
        <v>-1.5625000000001332E-3</v>
      </c>
    </row>
    <row r="55" spans="1:18" x14ac:dyDescent="0.25">
      <c r="A55">
        <v>54</v>
      </c>
      <c r="B55" t="s">
        <v>77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14.6</v>
      </c>
      <c r="K55">
        <f t="shared" ref="K55:Q55" si="55">J108+J109</f>
        <v>30.1</v>
      </c>
      <c r="L55">
        <f t="shared" si="55"/>
        <v>0.40000000000000036</v>
      </c>
      <c r="M55">
        <f t="shared" si="55"/>
        <v>-4.8000000000000007</v>
      </c>
      <c r="N55">
        <f t="shared" si="55"/>
        <v>-0.30000000000000071</v>
      </c>
      <c r="O55">
        <f t="shared" si="55"/>
        <v>-0.29999999999999538</v>
      </c>
      <c r="P55">
        <f t="shared" si="55"/>
        <v>-1.6999999999999922</v>
      </c>
      <c r="Q55">
        <f t="shared" si="55"/>
        <v>-0.49999999999999467</v>
      </c>
      <c r="R55">
        <f t="shared" si="35"/>
        <v>-7.8124999999999167E-3</v>
      </c>
    </row>
    <row r="56" spans="1:18" x14ac:dyDescent="0.25">
      <c r="A56">
        <v>55</v>
      </c>
      <c r="B56" t="s">
        <v>78</v>
      </c>
      <c r="C56">
        <v>-1</v>
      </c>
      <c r="D56">
        <v>1</v>
      </c>
      <c r="E56">
        <v>1</v>
      </c>
      <c r="F56">
        <v>-1</v>
      </c>
      <c r="G56">
        <v>1</v>
      </c>
      <c r="H56">
        <v>1</v>
      </c>
      <c r="I56">
        <v>-1</v>
      </c>
      <c r="J56">
        <v>16.100000000000001</v>
      </c>
      <c r="K56">
        <f t="shared" ref="K56:Q56" si="56">J110+J111</f>
        <v>29.1</v>
      </c>
      <c r="L56">
        <f t="shared" si="56"/>
        <v>0.79999999999999893</v>
      </c>
      <c r="M56">
        <f t="shared" si="56"/>
        <v>-3.9000000000000021</v>
      </c>
      <c r="N56">
        <f t="shared" si="56"/>
        <v>-0.70000000000000284</v>
      </c>
      <c r="O56">
        <f t="shared" si="56"/>
        <v>-0.39999999999999858</v>
      </c>
      <c r="P56">
        <f t="shared" si="56"/>
        <v>0</v>
      </c>
      <c r="Q56">
        <f t="shared" si="56"/>
        <v>1.100000000000005</v>
      </c>
      <c r="R56">
        <f t="shared" si="35"/>
        <v>1.7187500000000078E-2</v>
      </c>
    </row>
    <row r="57" spans="1:18" x14ac:dyDescent="0.25">
      <c r="A57">
        <v>56</v>
      </c>
      <c r="B57" t="s">
        <v>79</v>
      </c>
      <c r="C57">
        <v>1</v>
      </c>
      <c r="D57">
        <v>1</v>
      </c>
      <c r="E57">
        <v>1</v>
      </c>
      <c r="F57">
        <v>-1</v>
      </c>
      <c r="G57">
        <v>1</v>
      </c>
      <c r="H57">
        <v>1</v>
      </c>
      <c r="I57">
        <v>-1</v>
      </c>
      <c r="J57">
        <v>15.1</v>
      </c>
      <c r="K57">
        <f t="shared" ref="K57:Q57" si="57">J112+J113</f>
        <v>29.799999999999997</v>
      </c>
      <c r="L57">
        <f t="shared" si="57"/>
        <v>0.5</v>
      </c>
      <c r="M57">
        <f t="shared" si="57"/>
        <v>-4.8999999999999986</v>
      </c>
      <c r="N57">
        <f t="shared" si="57"/>
        <v>0</v>
      </c>
      <c r="O57">
        <f t="shared" si="57"/>
        <v>-0.29999999999999893</v>
      </c>
      <c r="P57">
        <f t="shared" si="57"/>
        <v>-0.70000000000000107</v>
      </c>
      <c r="Q57">
        <f t="shared" si="57"/>
        <v>0.70000000000000817</v>
      </c>
      <c r="R57">
        <f t="shared" si="35"/>
        <v>1.0937500000000128E-2</v>
      </c>
    </row>
    <row r="58" spans="1:18" x14ac:dyDescent="0.25">
      <c r="A58">
        <v>57</v>
      </c>
      <c r="B58" t="s">
        <v>80</v>
      </c>
      <c r="C58">
        <v>-1</v>
      </c>
      <c r="D58">
        <v>-1</v>
      </c>
      <c r="E58">
        <v>-1</v>
      </c>
      <c r="F58">
        <v>1</v>
      </c>
      <c r="G58">
        <v>1</v>
      </c>
      <c r="H58">
        <v>1</v>
      </c>
      <c r="I58">
        <v>-1</v>
      </c>
      <c r="J58">
        <v>12.4</v>
      </c>
      <c r="K58">
        <f t="shared" ref="K58:Q58" si="58">J114+J115</f>
        <v>29.200000000000003</v>
      </c>
      <c r="L58">
        <f t="shared" si="58"/>
        <v>0.10000000000000142</v>
      </c>
      <c r="M58">
        <f t="shared" si="58"/>
        <v>-1.1999999999999993</v>
      </c>
      <c r="N58">
        <f t="shared" si="58"/>
        <v>-3.7000000000000011</v>
      </c>
      <c r="O58">
        <f t="shared" si="58"/>
        <v>-0.49999999999999289</v>
      </c>
      <c r="P58">
        <f t="shared" si="58"/>
        <v>0.19999999999998863</v>
      </c>
      <c r="Q58">
        <f t="shared" si="58"/>
        <v>0.69999999999996021</v>
      </c>
      <c r="R58">
        <f t="shared" si="35"/>
        <v>1.0937499999999378E-2</v>
      </c>
    </row>
    <row r="59" spans="1:18" x14ac:dyDescent="0.25">
      <c r="A59">
        <v>58</v>
      </c>
      <c r="B59" t="s">
        <v>81</v>
      </c>
      <c r="C59">
        <v>1</v>
      </c>
      <c r="D59">
        <v>-1</v>
      </c>
      <c r="E59">
        <v>-1</v>
      </c>
      <c r="F59">
        <v>1</v>
      </c>
      <c r="G59">
        <v>1</v>
      </c>
      <c r="H59">
        <v>1</v>
      </c>
      <c r="I59">
        <v>-1</v>
      </c>
      <c r="J59">
        <v>13.6</v>
      </c>
      <c r="K59">
        <f t="shared" ref="K59:Q59" si="59">J116+J117</f>
        <v>29.9</v>
      </c>
      <c r="L59">
        <f t="shared" si="59"/>
        <v>0.20000000000000107</v>
      </c>
      <c r="M59">
        <f t="shared" si="59"/>
        <v>-0.69999999999999929</v>
      </c>
      <c r="N59">
        <f t="shared" si="59"/>
        <v>-3.8000000000000043</v>
      </c>
      <c r="O59">
        <f t="shared" si="59"/>
        <v>-0.70000000000000284</v>
      </c>
      <c r="P59">
        <f t="shared" si="59"/>
        <v>-0.10000000000000853</v>
      </c>
      <c r="Q59">
        <f t="shared" si="59"/>
        <v>0.30000000000000249</v>
      </c>
      <c r="R59">
        <f t="shared" si="35"/>
        <v>4.6875000000000389E-3</v>
      </c>
    </row>
    <row r="60" spans="1:18" x14ac:dyDescent="0.25">
      <c r="A60">
        <v>59</v>
      </c>
      <c r="B60" t="s">
        <v>82</v>
      </c>
      <c r="C60">
        <v>-1</v>
      </c>
      <c r="D60">
        <v>1</v>
      </c>
      <c r="E60">
        <v>-1</v>
      </c>
      <c r="F60">
        <v>1</v>
      </c>
      <c r="G60">
        <v>1</v>
      </c>
      <c r="H60">
        <v>1</v>
      </c>
      <c r="I60">
        <v>-1</v>
      </c>
      <c r="J60">
        <v>16.8</v>
      </c>
      <c r="K60">
        <f t="shared" ref="K60:Q60" si="60">J118+J119</f>
        <v>29.200000000000003</v>
      </c>
      <c r="L60">
        <f t="shared" si="60"/>
        <v>-9.9999999999999645E-2</v>
      </c>
      <c r="M60">
        <f t="shared" si="60"/>
        <v>-0.79999999999999893</v>
      </c>
      <c r="N60">
        <f t="shared" si="60"/>
        <v>-4.7000000000000011</v>
      </c>
      <c r="O60">
        <f t="shared" si="60"/>
        <v>-0.59999999999999787</v>
      </c>
      <c r="P60">
        <f t="shared" si="60"/>
        <v>0.40000000000000924</v>
      </c>
      <c r="Q60">
        <f t="shared" si="60"/>
        <v>0.29999999999997939</v>
      </c>
      <c r="R60">
        <f t="shared" si="35"/>
        <v>4.687499999999678E-3</v>
      </c>
    </row>
    <row r="61" spans="1:18" x14ac:dyDescent="0.25">
      <c r="A61">
        <v>60</v>
      </c>
      <c r="B61" t="s">
        <v>83</v>
      </c>
      <c r="C61">
        <v>1</v>
      </c>
      <c r="D61">
        <v>1</v>
      </c>
      <c r="E61">
        <v>-1</v>
      </c>
      <c r="F61">
        <v>1</v>
      </c>
      <c r="G61">
        <v>1</v>
      </c>
      <c r="H61">
        <v>1</v>
      </c>
      <c r="I61">
        <v>-1</v>
      </c>
      <c r="J61">
        <v>16.7</v>
      </c>
      <c r="K61">
        <f t="shared" ref="K61:Q61" si="61">J120+J121</f>
        <v>29.9</v>
      </c>
      <c r="L61">
        <f t="shared" si="61"/>
        <v>9.9999999999999645E-2</v>
      </c>
      <c r="M61">
        <f t="shared" si="61"/>
        <v>-0.70000000000000107</v>
      </c>
      <c r="N61">
        <f t="shared" si="61"/>
        <v>-4.1999999999999993</v>
      </c>
      <c r="O61">
        <f t="shared" si="61"/>
        <v>-0.50000000000000711</v>
      </c>
      <c r="P61">
        <f t="shared" si="61"/>
        <v>-1.0999999999999996</v>
      </c>
      <c r="Q61">
        <f t="shared" si="61"/>
        <v>-9.9999999999988987E-2</v>
      </c>
      <c r="R61">
        <f t="shared" si="35"/>
        <v>-1.5624999999998279E-3</v>
      </c>
    </row>
    <row r="62" spans="1:18" x14ac:dyDescent="0.25">
      <c r="A62">
        <v>61</v>
      </c>
      <c r="B62" t="s">
        <v>84</v>
      </c>
      <c r="C62">
        <v>-1</v>
      </c>
      <c r="D62">
        <v>-1</v>
      </c>
      <c r="E62">
        <v>1</v>
      </c>
      <c r="F62">
        <v>1</v>
      </c>
      <c r="G62">
        <v>1</v>
      </c>
      <c r="H62">
        <v>1</v>
      </c>
      <c r="I62">
        <v>-1</v>
      </c>
      <c r="J62">
        <v>12.4</v>
      </c>
      <c r="K62">
        <f t="shared" ref="K62:Q62" si="62">J122+J123</f>
        <v>29.1</v>
      </c>
      <c r="L62">
        <f t="shared" si="62"/>
        <v>0.30000000000000071</v>
      </c>
      <c r="M62">
        <f t="shared" si="62"/>
        <v>-1.4999999999999982</v>
      </c>
      <c r="N62">
        <f t="shared" si="62"/>
        <v>-0.30000000000000071</v>
      </c>
      <c r="O62">
        <f t="shared" si="62"/>
        <v>0.69999999999999751</v>
      </c>
      <c r="P62">
        <f t="shared" si="62"/>
        <v>-2.1316282072803006E-14</v>
      </c>
      <c r="Q62">
        <f t="shared" si="62"/>
        <v>0.30000000000001137</v>
      </c>
      <c r="R62">
        <f t="shared" si="35"/>
        <v>4.6875000000001776E-3</v>
      </c>
    </row>
    <row r="63" spans="1:18" x14ac:dyDescent="0.25">
      <c r="A63">
        <v>62</v>
      </c>
      <c r="B63" t="s">
        <v>85</v>
      </c>
      <c r="C63">
        <v>1</v>
      </c>
      <c r="D63">
        <v>-1</v>
      </c>
      <c r="E63">
        <v>1</v>
      </c>
      <c r="F63">
        <v>1</v>
      </c>
      <c r="G63">
        <v>1</v>
      </c>
      <c r="H63">
        <v>1</v>
      </c>
      <c r="I63">
        <v>-1</v>
      </c>
      <c r="J63">
        <v>14.6</v>
      </c>
      <c r="K63">
        <f t="shared" ref="K63:Q63" si="63">J124+J125</f>
        <v>29.9</v>
      </c>
      <c r="L63">
        <f t="shared" si="63"/>
        <v>0.30000000000000071</v>
      </c>
      <c r="M63">
        <f t="shared" si="63"/>
        <v>-1.3999999999999986</v>
      </c>
      <c r="N63">
        <f t="shared" si="63"/>
        <v>-0.30000000000000071</v>
      </c>
      <c r="O63">
        <f t="shared" si="63"/>
        <v>-0.8999999999999968</v>
      </c>
      <c r="P63">
        <f t="shared" si="63"/>
        <v>0.50000000000000355</v>
      </c>
      <c r="Q63">
        <f t="shared" si="63"/>
        <v>0.30000000000001315</v>
      </c>
      <c r="R63">
        <f t="shared" si="35"/>
        <v>4.6875000000002054E-3</v>
      </c>
    </row>
    <row r="64" spans="1:18" x14ac:dyDescent="0.25">
      <c r="A64">
        <v>63</v>
      </c>
      <c r="B64" t="s">
        <v>86</v>
      </c>
      <c r="C64">
        <v>-1</v>
      </c>
      <c r="D64">
        <v>1</v>
      </c>
      <c r="E64">
        <v>1</v>
      </c>
      <c r="F64">
        <v>1</v>
      </c>
      <c r="G64">
        <v>1</v>
      </c>
      <c r="H64">
        <v>1</v>
      </c>
      <c r="I64">
        <v>-1</v>
      </c>
      <c r="J64">
        <v>16.899999999999999</v>
      </c>
      <c r="K64">
        <f t="shared" ref="K64:Q64" si="64">J126+J127</f>
        <v>29.1</v>
      </c>
      <c r="L64">
        <f t="shared" si="64"/>
        <v>0.59999999999999964</v>
      </c>
      <c r="M64">
        <f t="shared" si="64"/>
        <v>-1</v>
      </c>
      <c r="N64">
        <f t="shared" si="64"/>
        <v>-0.50000000000000178</v>
      </c>
      <c r="O64">
        <f t="shared" si="64"/>
        <v>-0.19999999999999929</v>
      </c>
      <c r="P64">
        <f t="shared" si="64"/>
        <v>0.20000000000000639</v>
      </c>
      <c r="Q64">
        <f t="shared" si="64"/>
        <v>0.30000000000001492</v>
      </c>
      <c r="R64">
        <f t="shared" si="35"/>
        <v>4.6875000000002331E-3</v>
      </c>
    </row>
    <row r="65" spans="1:18" x14ac:dyDescent="0.25">
      <c r="A65">
        <v>64</v>
      </c>
      <c r="B65" t="s">
        <v>87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15.5</v>
      </c>
      <c r="K65">
        <f t="shared" ref="K65:Q65" si="65">J128+J129</f>
        <v>29.9</v>
      </c>
      <c r="L65">
        <f t="shared" si="65"/>
        <v>0.20000000000000107</v>
      </c>
      <c r="M65">
        <f t="shared" si="65"/>
        <v>-1.1999999999999993</v>
      </c>
      <c r="N65">
        <f t="shared" si="65"/>
        <v>-0.39999999999999858</v>
      </c>
      <c r="O65">
        <f t="shared" si="65"/>
        <v>-0.70000000000000107</v>
      </c>
      <c r="P65">
        <f t="shared" si="65"/>
        <v>-0.49999999999999112</v>
      </c>
      <c r="Q65">
        <f t="shared" si="65"/>
        <v>0.30000000000000604</v>
      </c>
      <c r="R65">
        <f t="shared" si="35"/>
        <v>4.6875000000000944E-3</v>
      </c>
    </row>
    <row r="66" spans="1:18" x14ac:dyDescent="0.25">
      <c r="A66">
        <v>65</v>
      </c>
      <c r="B66" t="s">
        <v>88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1</v>
      </c>
      <c r="J66">
        <v>14.4</v>
      </c>
      <c r="K66">
        <f t="shared" ref="K66:Q66" si="66">J3-J2</f>
        <v>0.90000000000000036</v>
      </c>
      <c r="L66">
        <f t="shared" si="66"/>
        <v>5.4000000000000057</v>
      </c>
      <c r="M66">
        <f t="shared" si="66"/>
        <v>0</v>
      </c>
      <c r="N66">
        <f t="shared" si="66"/>
        <v>2.5</v>
      </c>
      <c r="O66">
        <f t="shared" si="66"/>
        <v>-0.90000000000000568</v>
      </c>
      <c r="P66">
        <f t="shared" si="66"/>
        <v>4.7999999999999545</v>
      </c>
      <c r="Q66">
        <f t="shared" si="66"/>
        <v>5.7000000000000455</v>
      </c>
      <c r="R66">
        <f t="shared" si="35"/>
        <v>8.9062500000000711E-2</v>
      </c>
    </row>
    <row r="67" spans="1:18" x14ac:dyDescent="0.25">
      <c r="A67">
        <v>66</v>
      </c>
      <c r="B67" t="s">
        <v>89</v>
      </c>
      <c r="C67">
        <v>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1</v>
      </c>
      <c r="J67">
        <v>14.8</v>
      </c>
      <c r="K67">
        <f t="shared" ref="K67:Q67" si="67">J5-J4</f>
        <v>9.9999999999999645E-2</v>
      </c>
      <c r="L67">
        <f t="shared" si="67"/>
        <v>3.6000000000000014</v>
      </c>
      <c r="M67">
        <f t="shared" si="67"/>
        <v>-0.29999999999999716</v>
      </c>
      <c r="N67">
        <f t="shared" si="67"/>
        <v>2.2000000000000171</v>
      </c>
      <c r="O67">
        <f t="shared" si="67"/>
        <v>-0.89999999999997726</v>
      </c>
      <c r="P67">
        <f t="shared" si="67"/>
        <v>-2.1000000000000227</v>
      </c>
      <c r="Q67">
        <f t="shared" si="67"/>
        <v>-9.4999999999999982</v>
      </c>
      <c r="R67">
        <f t="shared" ref="R67:R98" si="68">Q67/64</f>
        <v>-0.14843749999999997</v>
      </c>
    </row>
    <row r="68" spans="1:18" x14ac:dyDescent="0.25">
      <c r="A68">
        <v>67</v>
      </c>
      <c r="B68" t="s">
        <v>90</v>
      </c>
      <c r="C68">
        <v>-1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1</v>
      </c>
      <c r="J68">
        <v>15.1</v>
      </c>
      <c r="K68">
        <f t="shared" ref="K68:Q68" si="69">J7-J6</f>
        <v>1.8000000000000007</v>
      </c>
      <c r="L68">
        <f t="shared" si="69"/>
        <v>7.3999999999999986</v>
      </c>
      <c r="M68">
        <f t="shared" si="69"/>
        <v>0.10000000000000142</v>
      </c>
      <c r="N68">
        <f t="shared" si="69"/>
        <v>2.3000000000000114</v>
      </c>
      <c r="O68">
        <f t="shared" si="69"/>
        <v>-0.19999999999998863</v>
      </c>
      <c r="P68">
        <f t="shared" si="69"/>
        <v>0.19999999999999574</v>
      </c>
      <c r="Q68">
        <f t="shared" si="69"/>
        <v>-73.900000000000077</v>
      </c>
      <c r="R68">
        <f t="shared" si="68"/>
        <v>-1.1546875000000012</v>
      </c>
    </row>
    <row r="69" spans="1:18" x14ac:dyDescent="0.25">
      <c r="A69">
        <v>68</v>
      </c>
      <c r="B69" t="s">
        <v>91</v>
      </c>
      <c r="C69">
        <v>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1</v>
      </c>
      <c r="J69">
        <v>15</v>
      </c>
      <c r="K69">
        <f t="shared" ref="K69:Q69" si="70">J9-J8</f>
        <v>-1</v>
      </c>
      <c r="L69">
        <f t="shared" si="70"/>
        <v>5.3000000000000043</v>
      </c>
      <c r="M69">
        <f t="shared" si="70"/>
        <v>-0.10000000000000142</v>
      </c>
      <c r="N69">
        <f t="shared" si="70"/>
        <v>1.8000000000000114</v>
      </c>
      <c r="O69">
        <f t="shared" si="70"/>
        <v>9.9999999999965894E-2</v>
      </c>
      <c r="P69">
        <f t="shared" si="70"/>
        <v>-1.8999999999999932</v>
      </c>
      <c r="Q69">
        <f t="shared" si="70"/>
        <v>26.1</v>
      </c>
      <c r="R69">
        <f t="shared" si="68"/>
        <v>0.40781250000000002</v>
      </c>
    </row>
    <row r="70" spans="1:18" x14ac:dyDescent="0.25">
      <c r="A70">
        <v>69</v>
      </c>
      <c r="B70" t="s">
        <v>92</v>
      </c>
      <c r="C70">
        <v>-1</v>
      </c>
      <c r="D70">
        <v>-1</v>
      </c>
      <c r="E70">
        <v>1</v>
      </c>
      <c r="F70">
        <v>-1</v>
      </c>
      <c r="G70">
        <v>-1</v>
      </c>
      <c r="H70">
        <v>-1</v>
      </c>
      <c r="I70">
        <v>1</v>
      </c>
      <c r="J70">
        <v>14.4</v>
      </c>
      <c r="K70">
        <f t="shared" ref="K70:Q70" si="71">J11-J10</f>
        <v>1.1999999999999993</v>
      </c>
      <c r="L70">
        <f t="shared" si="71"/>
        <v>5</v>
      </c>
      <c r="M70">
        <f t="shared" si="71"/>
        <v>-0.10000000000000142</v>
      </c>
      <c r="N70">
        <f t="shared" si="71"/>
        <v>-0.30000000000001137</v>
      </c>
      <c r="O70">
        <f t="shared" si="71"/>
        <v>0.29999999999999893</v>
      </c>
      <c r="P70">
        <f t="shared" si="71"/>
        <v>4.1999999999999957</v>
      </c>
      <c r="Q70">
        <f t="shared" si="71"/>
        <v>0.90000000000000568</v>
      </c>
      <c r="R70">
        <f t="shared" si="68"/>
        <v>1.4062500000000089E-2</v>
      </c>
    </row>
    <row r="71" spans="1:18" x14ac:dyDescent="0.25">
      <c r="A71">
        <v>70</v>
      </c>
      <c r="B71" t="s">
        <v>93</v>
      </c>
      <c r="C71">
        <v>1</v>
      </c>
      <c r="D71">
        <v>-1</v>
      </c>
      <c r="E71">
        <v>1</v>
      </c>
      <c r="F71">
        <v>-1</v>
      </c>
      <c r="G71">
        <v>-1</v>
      </c>
      <c r="H71">
        <v>-1</v>
      </c>
      <c r="I71">
        <v>1</v>
      </c>
      <c r="J71">
        <v>14.9</v>
      </c>
      <c r="K71">
        <f t="shared" ref="K71:Q71" si="72">J13-J12</f>
        <v>-0.39999999999999858</v>
      </c>
      <c r="L71">
        <f t="shared" si="72"/>
        <v>3.3000000000000043</v>
      </c>
      <c r="M71">
        <f t="shared" si="72"/>
        <v>-0.19999999999999574</v>
      </c>
      <c r="N71">
        <f t="shared" si="72"/>
        <v>-0.89999999999999147</v>
      </c>
      <c r="O71">
        <f t="shared" si="72"/>
        <v>0.50000000000000178</v>
      </c>
      <c r="P71">
        <f t="shared" si="72"/>
        <v>-1.9000000000000092</v>
      </c>
      <c r="Q71">
        <f t="shared" si="72"/>
        <v>1.3000000000000096</v>
      </c>
      <c r="R71">
        <f t="shared" si="68"/>
        <v>2.031250000000015E-2</v>
      </c>
    </row>
    <row r="72" spans="1:18" x14ac:dyDescent="0.25">
      <c r="A72">
        <v>71</v>
      </c>
      <c r="B72" t="s">
        <v>94</v>
      </c>
      <c r="C72">
        <v>-1</v>
      </c>
      <c r="D72">
        <v>1</v>
      </c>
      <c r="E72">
        <v>1</v>
      </c>
      <c r="F72">
        <v>-1</v>
      </c>
      <c r="G72">
        <v>-1</v>
      </c>
      <c r="H72">
        <v>-1</v>
      </c>
      <c r="I72">
        <v>1</v>
      </c>
      <c r="J72">
        <v>15.2</v>
      </c>
      <c r="K72">
        <f t="shared" ref="K72:Q72" si="73">J15-J14</f>
        <v>2.0999999999999996</v>
      </c>
      <c r="L72">
        <f t="shared" si="73"/>
        <v>7</v>
      </c>
      <c r="M72">
        <f t="shared" si="73"/>
        <v>-0.10000000000000142</v>
      </c>
      <c r="N72">
        <f t="shared" si="73"/>
        <v>-0.5</v>
      </c>
      <c r="O72">
        <f t="shared" si="73"/>
        <v>0.19999999999999929</v>
      </c>
      <c r="P72">
        <f t="shared" si="73"/>
        <v>-0.40000000000000568</v>
      </c>
      <c r="Q72">
        <f t="shared" si="73"/>
        <v>14.499999999999989</v>
      </c>
      <c r="R72">
        <f t="shared" si="68"/>
        <v>0.22656249999999983</v>
      </c>
    </row>
    <row r="73" spans="1:18" x14ac:dyDescent="0.25">
      <c r="A73">
        <v>72</v>
      </c>
      <c r="B73" t="s">
        <v>95</v>
      </c>
      <c r="C73">
        <v>1</v>
      </c>
      <c r="D73">
        <v>1</v>
      </c>
      <c r="E73">
        <v>1</v>
      </c>
      <c r="F73">
        <v>-1</v>
      </c>
      <c r="G73">
        <v>-1</v>
      </c>
      <c r="H73">
        <v>-1</v>
      </c>
      <c r="I73">
        <v>1</v>
      </c>
      <c r="J73">
        <v>15</v>
      </c>
      <c r="K73">
        <f t="shared" ref="K73:Q73" si="74">J17-J16</f>
        <v>-1.1999999999999993</v>
      </c>
      <c r="L73">
        <f t="shared" si="74"/>
        <v>5.1000000000000014</v>
      </c>
      <c r="M73">
        <f t="shared" si="74"/>
        <v>-0.10000000000000142</v>
      </c>
      <c r="N73">
        <f t="shared" si="74"/>
        <v>-0.20000000000000284</v>
      </c>
      <c r="O73">
        <f t="shared" si="74"/>
        <v>1.0999999999999996</v>
      </c>
      <c r="P73">
        <f t="shared" si="74"/>
        <v>-1.6999999999999975</v>
      </c>
      <c r="Q73">
        <f t="shared" si="74"/>
        <v>14.900000000000004</v>
      </c>
      <c r="R73">
        <f t="shared" si="68"/>
        <v>0.23281250000000006</v>
      </c>
    </row>
    <row r="74" spans="1:18" x14ac:dyDescent="0.25">
      <c r="A74">
        <v>73</v>
      </c>
      <c r="B74" t="s">
        <v>96</v>
      </c>
      <c r="C74">
        <v>-1</v>
      </c>
      <c r="D74">
        <v>-1</v>
      </c>
      <c r="E74">
        <v>-1</v>
      </c>
      <c r="F74">
        <v>1</v>
      </c>
      <c r="G74">
        <v>-1</v>
      </c>
      <c r="H74">
        <v>-1</v>
      </c>
      <c r="I74">
        <v>1</v>
      </c>
      <c r="J74">
        <v>14.3</v>
      </c>
      <c r="K74">
        <f t="shared" ref="K74:Q74" si="75">J19-J18</f>
        <v>1</v>
      </c>
      <c r="L74">
        <f t="shared" si="75"/>
        <v>6.1000000000000014</v>
      </c>
      <c r="M74">
        <f t="shared" si="75"/>
        <v>0.19999999999999574</v>
      </c>
      <c r="N74">
        <f t="shared" si="75"/>
        <v>-9.9999999999999645E-2</v>
      </c>
      <c r="O74">
        <f t="shared" si="75"/>
        <v>-1.3000000000000043</v>
      </c>
      <c r="P74">
        <f t="shared" si="75"/>
        <v>-0.20000000000000284</v>
      </c>
      <c r="Q74">
        <f t="shared" si="75"/>
        <v>-10.700000000000045</v>
      </c>
      <c r="R74">
        <f t="shared" si="68"/>
        <v>-0.16718750000000071</v>
      </c>
    </row>
    <row r="75" spans="1:18" x14ac:dyDescent="0.25">
      <c r="A75">
        <v>74</v>
      </c>
      <c r="B75" t="s">
        <v>97</v>
      </c>
      <c r="C75">
        <v>1</v>
      </c>
      <c r="D75">
        <v>-1</v>
      </c>
      <c r="E75">
        <v>-1</v>
      </c>
      <c r="F75">
        <v>1</v>
      </c>
      <c r="G75">
        <v>-1</v>
      </c>
      <c r="H75">
        <v>-1</v>
      </c>
      <c r="I75">
        <v>1</v>
      </c>
      <c r="J75">
        <v>14.7</v>
      </c>
      <c r="K75">
        <f t="shared" ref="K75:Q75" si="76">J21-J20</f>
        <v>0.20000000000000107</v>
      </c>
      <c r="L75">
        <f t="shared" si="76"/>
        <v>4</v>
      </c>
      <c r="M75">
        <f t="shared" si="76"/>
        <v>-9.9999999999994316E-2</v>
      </c>
      <c r="N75">
        <f t="shared" si="76"/>
        <v>-0.40000000000000213</v>
      </c>
      <c r="O75">
        <f t="shared" si="76"/>
        <v>-1.5</v>
      </c>
      <c r="P75">
        <f t="shared" si="76"/>
        <v>9.9999999999994316E-2</v>
      </c>
      <c r="Q75">
        <f t="shared" si="76"/>
        <v>1.7000000000000011</v>
      </c>
      <c r="R75">
        <f t="shared" si="68"/>
        <v>2.6562500000000017E-2</v>
      </c>
    </row>
    <row r="76" spans="1:18" x14ac:dyDescent="0.25">
      <c r="A76">
        <v>75</v>
      </c>
      <c r="B76" t="s">
        <v>98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1</v>
      </c>
      <c r="J76">
        <v>15.1</v>
      </c>
      <c r="K76">
        <f t="shared" ref="K76:Q76" si="77">J23-J22</f>
        <v>1.9000000000000004</v>
      </c>
      <c r="L76">
        <f t="shared" si="77"/>
        <v>8.1000000000000014</v>
      </c>
      <c r="M76">
        <f t="shared" si="77"/>
        <v>0.20000000000000284</v>
      </c>
      <c r="N76">
        <f t="shared" si="77"/>
        <v>9.9999999999996092E-2</v>
      </c>
      <c r="O76">
        <f t="shared" si="77"/>
        <v>0</v>
      </c>
      <c r="P76">
        <f t="shared" si="77"/>
        <v>-0.80000000000000071</v>
      </c>
      <c r="Q76">
        <f t="shared" si="77"/>
        <v>-13.899999999999974</v>
      </c>
      <c r="R76">
        <f t="shared" si="68"/>
        <v>-0.21718749999999959</v>
      </c>
    </row>
    <row r="77" spans="1:18" x14ac:dyDescent="0.25">
      <c r="A77">
        <v>76</v>
      </c>
      <c r="B77" t="s">
        <v>99</v>
      </c>
      <c r="C77">
        <v>1</v>
      </c>
      <c r="D77">
        <v>1</v>
      </c>
      <c r="E77">
        <v>-1</v>
      </c>
      <c r="F77">
        <v>1</v>
      </c>
      <c r="G77">
        <v>-1</v>
      </c>
      <c r="H77">
        <v>-1</v>
      </c>
      <c r="I77">
        <v>1</v>
      </c>
      <c r="J77">
        <v>15.2</v>
      </c>
      <c r="K77">
        <f t="shared" ref="K77:Q77" si="78">J25-J24</f>
        <v>-1</v>
      </c>
      <c r="L77">
        <f t="shared" si="78"/>
        <v>5.7000000000000028</v>
      </c>
      <c r="M77">
        <f t="shared" si="78"/>
        <v>-0.29999999999999716</v>
      </c>
      <c r="N77">
        <f t="shared" si="78"/>
        <v>-0.20000000000000284</v>
      </c>
      <c r="O77">
        <f t="shared" si="78"/>
        <v>-0.30000000000000426</v>
      </c>
      <c r="P77">
        <f t="shared" si="78"/>
        <v>-0.1000000000000032</v>
      </c>
      <c r="Q77">
        <f t="shared" si="78"/>
        <v>4.8999999999999897</v>
      </c>
      <c r="R77">
        <f t="shared" si="68"/>
        <v>7.6562499999999839E-2</v>
      </c>
    </row>
    <row r="78" spans="1:18" x14ac:dyDescent="0.25">
      <c r="A78">
        <v>77</v>
      </c>
      <c r="B78" t="s">
        <v>100</v>
      </c>
      <c r="C78">
        <v>-1</v>
      </c>
      <c r="D78">
        <v>-1</v>
      </c>
      <c r="E78">
        <v>1</v>
      </c>
      <c r="F78">
        <v>1</v>
      </c>
      <c r="G78">
        <v>-1</v>
      </c>
      <c r="H78">
        <v>-1</v>
      </c>
      <c r="I78">
        <v>1</v>
      </c>
      <c r="J78">
        <v>14.3</v>
      </c>
      <c r="K78">
        <f t="shared" ref="K78:Q78" si="79">J27-J26</f>
        <v>1.1999999999999993</v>
      </c>
      <c r="L78">
        <f t="shared" si="79"/>
        <v>5.6000000000000014</v>
      </c>
      <c r="M78">
        <f t="shared" si="79"/>
        <v>0.10000000000000142</v>
      </c>
      <c r="N78">
        <f t="shared" si="79"/>
        <v>0.49999999999999645</v>
      </c>
      <c r="O78">
        <f t="shared" si="79"/>
        <v>-9.9999999999999645E-2</v>
      </c>
      <c r="P78">
        <f t="shared" si="79"/>
        <v>-0.80000000000000426</v>
      </c>
      <c r="Q78">
        <f t="shared" si="79"/>
        <v>-0.29999999999999716</v>
      </c>
      <c r="R78">
        <f t="shared" si="68"/>
        <v>-4.6874999999999556E-3</v>
      </c>
    </row>
    <row r="79" spans="1:18" x14ac:dyDescent="0.25">
      <c r="A79">
        <v>78</v>
      </c>
      <c r="B79" t="s">
        <v>101</v>
      </c>
      <c r="C79">
        <v>1</v>
      </c>
      <c r="D79">
        <v>-1</v>
      </c>
      <c r="E79">
        <v>1</v>
      </c>
      <c r="F79">
        <v>1</v>
      </c>
      <c r="G79">
        <v>-1</v>
      </c>
      <c r="H79">
        <v>-1</v>
      </c>
      <c r="I79">
        <v>1</v>
      </c>
      <c r="J79">
        <v>14.8</v>
      </c>
      <c r="K79">
        <f t="shared" ref="K79:Q79" si="80">J29-J28</f>
        <v>-0.39999999999999858</v>
      </c>
      <c r="L79">
        <f t="shared" si="80"/>
        <v>3.9000000000000057</v>
      </c>
      <c r="M79">
        <f t="shared" si="80"/>
        <v>0</v>
      </c>
      <c r="N79">
        <f t="shared" si="80"/>
        <v>0.69999999999999929</v>
      </c>
      <c r="O79">
        <f t="shared" si="80"/>
        <v>-9.9999999999999645E-2</v>
      </c>
      <c r="P79">
        <f t="shared" si="80"/>
        <v>-0.10000000000000497</v>
      </c>
      <c r="Q79">
        <f t="shared" si="80"/>
        <v>-1.0999999999999996</v>
      </c>
      <c r="R79">
        <f t="shared" si="68"/>
        <v>-1.7187499999999994E-2</v>
      </c>
    </row>
    <row r="80" spans="1:18" x14ac:dyDescent="0.25">
      <c r="A80">
        <v>79</v>
      </c>
      <c r="B80" t="s">
        <v>102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1</v>
      </c>
      <c r="J80">
        <v>15</v>
      </c>
      <c r="K80">
        <f t="shared" ref="K80:Q80" si="81">J31-J30</f>
        <v>2.0999999999999996</v>
      </c>
      <c r="L80">
        <f t="shared" si="81"/>
        <v>7.5</v>
      </c>
      <c r="M80">
        <f t="shared" si="81"/>
        <v>0</v>
      </c>
      <c r="N80">
        <f t="shared" si="81"/>
        <v>-0.30000000000000249</v>
      </c>
      <c r="O80">
        <f t="shared" si="81"/>
        <v>0.39999999999999858</v>
      </c>
      <c r="P80">
        <f t="shared" si="81"/>
        <v>-1.399999999999995</v>
      </c>
      <c r="Q80">
        <f t="shared" si="81"/>
        <v>9.9999999999990763E-2</v>
      </c>
      <c r="R80">
        <f t="shared" si="68"/>
        <v>1.5624999999998557E-3</v>
      </c>
    </row>
    <row r="81" spans="1:18" x14ac:dyDescent="0.25">
      <c r="A81">
        <v>80</v>
      </c>
      <c r="B81" t="s">
        <v>103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  <c r="I81">
        <v>1</v>
      </c>
      <c r="J81">
        <v>15.1</v>
      </c>
      <c r="K81">
        <f t="shared" ref="K81:Q81" si="82">J33-J32</f>
        <v>-1.2000000000000011</v>
      </c>
      <c r="L81">
        <f t="shared" si="82"/>
        <v>5.3999999999999986</v>
      </c>
      <c r="M81">
        <f t="shared" si="82"/>
        <v>0</v>
      </c>
      <c r="N81">
        <f t="shared" si="82"/>
        <v>0.19999999999999929</v>
      </c>
      <c r="O81">
        <f t="shared" si="82"/>
        <v>0.69999999999999751</v>
      </c>
      <c r="P81">
        <f t="shared" si="82"/>
        <v>-0.29999999999999893</v>
      </c>
      <c r="Q81">
        <f t="shared" si="82"/>
        <v>-0.70000000000000107</v>
      </c>
      <c r="R81">
        <f t="shared" si="68"/>
        <v>-1.0937500000000017E-2</v>
      </c>
    </row>
    <row r="82" spans="1:18" x14ac:dyDescent="0.25">
      <c r="A82">
        <v>81</v>
      </c>
      <c r="B82" t="s">
        <v>104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14.4</v>
      </c>
      <c r="K82">
        <f t="shared" ref="K82:Q82" si="83">J35-J34</f>
        <v>0.90000000000000036</v>
      </c>
      <c r="L82">
        <f t="shared" si="83"/>
        <v>0.89999999999999858</v>
      </c>
      <c r="M82">
        <f t="shared" si="83"/>
        <v>-0.19999999999999929</v>
      </c>
      <c r="N82">
        <f t="shared" si="83"/>
        <v>3.6999999999999957</v>
      </c>
      <c r="O82">
        <f t="shared" si="83"/>
        <v>0.29999999999999716</v>
      </c>
      <c r="P82">
        <f t="shared" si="83"/>
        <v>-0.59999999999999432</v>
      </c>
      <c r="Q82">
        <f t="shared" si="83"/>
        <v>1.6999999999999602</v>
      </c>
      <c r="R82">
        <f t="shared" si="68"/>
        <v>2.6562499999999378E-2</v>
      </c>
    </row>
    <row r="83" spans="1:18" x14ac:dyDescent="0.25">
      <c r="A83">
        <v>82</v>
      </c>
      <c r="B83" t="s">
        <v>105</v>
      </c>
      <c r="C83">
        <v>1</v>
      </c>
      <c r="D83">
        <v>-1</v>
      </c>
      <c r="E83">
        <v>-1</v>
      </c>
      <c r="F83">
        <v>-1</v>
      </c>
      <c r="G83">
        <v>1</v>
      </c>
      <c r="H83">
        <v>-1</v>
      </c>
      <c r="I83">
        <v>1</v>
      </c>
      <c r="J83">
        <v>14.7</v>
      </c>
      <c r="K83">
        <f t="shared" ref="K83:Q83" si="84">J37-J36</f>
        <v>0</v>
      </c>
      <c r="L83">
        <f t="shared" si="84"/>
        <v>0.89999999999999858</v>
      </c>
      <c r="M83">
        <f t="shared" si="84"/>
        <v>9.9999999999999645E-2</v>
      </c>
      <c r="N83">
        <f t="shared" si="84"/>
        <v>3.7999999999999972</v>
      </c>
      <c r="O83">
        <f t="shared" si="84"/>
        <v>9.9999999999994316E-2</v>
      </c>
      <c r="P83">
        <f t="shared" si="84"/>
        <v>0.5</v>
      </c>
      <c r="Q83">
        <f t="shared" si="84"/>
        <v>0.49999999999999822</v>
      </c>
      <c r="R83">
        <f t="shared" si="68"/>
        <v>7.8124999999999722E-3</v>
      </c>
    </row>
    <row r="84" spans="1:18" x14ac:dyDescent="0.25">
      <c r="A84">
        <v>83</v>
      </c>
      <c r="B84" t="s">
        <v>106</v>
      </c>
      <c r="C84">
        <v>-1</v>
      </c>
      <c r="D84">
        <v>1</v>
      </c>
      <c r="E84">
        <v>-1</v>
      </c>
      <c r="F84">
        <v>-1</v>
      </c>
      <c r="G84">
        <v>1</v>
      </c>
      <c r="H84">
        <v>-1</v>
      </c>
      <c r="I84">
        <v>1</v>
      </c>
      <c r="J84">
        <v>15.2</v>
      </c>
      <c r="K84">
        <f t="shared" ref="K84:Q84" si="85">J39-J38</f>
        <v>1.9000000000000004</v>
      </c>
      <c r="L84">
        <f t="shared" si="85"/>
        <v>1.2999999999999972</v>
      </c>
      <c r="M84">
        <f t="shared" si="85"/>
        <v>-0.30000000000000071</v>
      </c>
      <c r="N84">
        <f t="shared" si="85"/>
        <v>3.7000000000000028</v>
      </c>
      <c r="O84">
        <f t="shared" si="85"/>
        <v>-0.19999999999999574</v>
      </c>
      <c r="P84">
        <f t="shared" si="85"/>
        <v>0.39999999999999503</v>
      </c>
      <c r="Q84">
        <f t="shared" si="85"/>
        <v>2.5</v>
      </c>
      <c r="R84">
        <f t="shared" si="68"/>
        <v>3.90625E-2</v>
      </c>
    </row>
    <row r="85" spans="1:18" x14ac:dyDescent="0.25">
      <c r="A85">
        <v>84</v>
      </c>
      <c r="B85" t="s">
        <v>107</v>
      </c>
      <c r="C85">
        <v>1</v>
      </c>
      <c r="D85">
        <v>1</v>
      </c>
      <c r="E85">
        <v>-1</v>
      </c>
      <c r="F85">
        <v>-1</v>
      </c>
      <c r="G85">
        <v>1</v>
      </c>
      <c r="H85">
        <v>-1</v>
      </c>
      <c r="I85">
        <v>1</v>
      </c>
      <c r="J85">
        <v>15.1</v>
      </c>
      <c r="K85">
        <f t="shared" ref="K85:Q85" si="86">J41-J40</f>
        <v>-1.0999999999999996</v>
      </c>
      <c r="L85">
        <f t="shared" si="86"/>
        <v>1</v>
      </c>
      <c r="M85">
        <f t="shared" si="86"/>
        <v>9.9999999999997868E-2</v>
      </c>
      <c r="N85">
        <f t="shared" si="86"/>
        <v>3.3999999999999915</v>
      </c>
      <c r="O85">
        <f t="shared" si="86"/>
        <v>-0.10000000000000142</v>
      </c>
      <c r="P85">
        <f t="shared" si="86"/>
        <v>-1.2999999999999989</v>
      </c>
      <c r="Q85">
        <f t="shared" si="86"/>
        <v>1.2999999999999954</v>
      </c>
      <c r="R85">
        <f t="shared" si="68"/>
        <v>2.0312499999999928E-2</v>
      </c>
    </row>
    <row r="86" spans="1:18" x14ac:dyDescent="0.25">
      <c r="A86">
        <v>85</v>
      </c>
      <c r="B86" t="s">
        <v>108</v>
      </c>
      <c r="C86">
        <v>-1</v>
      </c>
      <c r="D86">
        <v>-1</v>
      </c>
      <c r="E86">
        <v>1</v>
      </c>
      <c r="F86">
        <v>-1</v>
      </c>
      <c r="G86">
        <v>1</v>
      </c>
      <c r="H86">
        <v>-1</v>
      </c>
      <c r="I86">
        <v>1</v>
      </c>
      <c r="J86">
        <v>14.4</v>
      </c>
      <c r="K86">
        <f t="shared" ref="K86:Q86" si="87">J43-J42</f>
        <v>1.0999999999999996</v>
      </c>
      <c r="L86">
        <f t="shared" si="87"/>
        <v>1.1999999999999957</v>
      </c>
      <c r="M86">
        <f t="shared" si="87"/>
        <v>-9.9999999999999645E-2</v>
      </c>
      <c r="N86">
        <f t="shared" si="87"/>
        <v>0.5</v>
      </c>
      <c r="O86">
        <f t="shared" si="87"/>
        <v>-0.1000000000000032</v>
      </c>
      <c r="P86">
        <f t="shared" si="87"/>
        <v>-0.39999999999999858</v>
      </c>
      <c r="Q86">
        <f t="shared" si="87"/>
        <v>-0.69999999999998863</v>
      </c>
      <c r="R86">
        <f t="shared" si="68"/>
        <v>-1.0937499999999822E-2</v>
      </c>
    </row>
    <row r="87" spans="1:18" x14ac:dyDescent="0.25">
      <c r="A87">
        <v>86</v>
      </c>
      <c r="B87" t="s">
        <v>109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  <c r="I87">
        <v>1</v>
      </c>
      <c r="J87">
        <v>14.8</v>
      </c>
      <c r="K87">
        <f t="shared" ref="K87:Q87" si="88">J45-J44</f>
        <v>0</v>
      </c>
      <c r="L87">
        <f t="shared" si="88"/>
        <v>1.1999999999999957</v>
      </c>
      <c r="M87">
        <f t="shared" si="88"/>
        <v>-0.40000000000000213</v>
      </c>
      <c r="N87">
        <f t="shared" si="88"/>
        <v>-0.69999999999999218</v>
      </c>
      <c r="O87">
        <f t="shared" si="88"/>
        <v>-9.9999999999999645E-2</v>
      </c>
      <c r="P87">
        <f t="shared" si="88"/>
        <v>1.0999999999999979</v>
      </c>
      <c r="Q87">
        <f t="shared" si="88"/>
        <v>-0.69999999999999396</v>
      </c>
      <c r="R87">
        <f t="shared" si="68"/>
        <v>-1.0937499999999906E-2</v>
      </c>
    </row>
    <row r="88" spans="1:18" x14ac:dyDescent="0.25">
      <c r="A88">
        <v>87</v>
      </c>
      <c r="B88" t="s">
        <v>110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15.2</v>
      </c>
      <c r="K88">
        <f t="shared" ref="K88:Q88" si="89">J47-J46</f>
        <v>2.1999999999999993</v>
      </c>
      <c r="L88">
        <f t="shared" si="89"/>
        <v>1</v>
      </c>
      <c r="M88">
        <f t="shared" si="89"/>
        <v>-0.30000000000000426</v>
      </c>
      <c r="N88">
        <f t="shared" si="89"/>
        <v>0.70000000000000284</v>
      </c>
      <c r="O88">
        <f t="shared" si="89"/>
        <v>-0.19999999999999929</v>
      </c>
      <c r="P88">
        <f t="shared" si="89"/>
        <v>0.59999999999999787</v>
      </c>
      <c r="Q88">
        <f t="shared" si="89"/>
        <v>-0.30000000000000782</v>
      </c>
      <c r="R88">
        <f t="shared" si="68"/>
        <v>-4.6875000000001221E-3</v>
      </c>
    </row>
    <row r="89" spans="1:18" x14ac:dyDescent="0.25">
      <c r="A89">
        <v>88</v>
      </c>
      <c r="B89" t="s">
        <v>111</v>
      </c>
      <c r="C89">
        <v>1</v>
      </c>
      <c r="D89">
        <v>1</v>
      </c>
      <c r="E89">
        <v>1</v>
      </c>
      <c r="F89">
        <v>-1</v>
      </c>
      <c r="G89">
        <v>1</v>
      </c>
      <c r="H89">
        <v>-1</v>
      </c>
      <c r="I89">
        <v>1</v>
      </c>
      <c r="J89">
        <v>15.2</v>
      </c>
      <c r="K89">
        <f t="shared" ref="K89:Q89" si="90">J49-J48</f>
        <v>-1.5000000000000018</v>
      </c>
      <c r="L89">
        <f t="shared" si="90"/>
        <v>0.69999999999999929</v>
      </c>
      <c r="M89">
        <f t="shared" si="90"/>
        <v>-0.29999999999999716</v>
      </c>
      <c r="N89">
        <f t="shared" si="90"/>
        <v>0.20000000000000284</v>
      </c>
      <c r="O89">
        <f t="shared" si="90"/>
        <v>-0.69999999999999751</v>
      </c>
      <c r="P89">
        <f t="shared" si="90"/>
        <v>-0.69999999999999751</v>
      </c>
      <c r="Q89">
        <f t="shared" si="90"/>
        <v>-0.29999999999999538</v>
      </c>
      <c r="R89">
        <f t="shared" si="68"/>
        <v>-4.6874999999999278E-3</v>
      </c>
    </row>
    <row r="90" spans="1:18" x14ac:dyDescent="0.25">
      <c r="A90">
        <v>89</v>
      </c>
      <c r="B90" t="s">
        <v>112</v>
      </c>
      <c r="C90">
        <v>-1</v>
      </c>
      <c r="D90">
        <v>-1</v>
      </c>
      <c r="E90">
        <v>-1</v>
      </c>
      <c r="F90">
        <v>1</v>
      </c>
      <c r="G90">
        <v>1</v>
      </c>
      <c r="H90">
        <v>-1</v>
      </c>
      <c r="I90">
        <v>1</v>
      </c>
      <c r="J90">
        <v>14.3</v>
      </c>
      <c r="K90">
        <f t="shared" ref="K90:Q90" si="91">J51-J50</f>
        <v>1.1000000000000014</v>
      </c>
      <c r="L90">
        <f t="shared" si="91"/>
        <v>0.69999999999999574</v>
      </c>
      <c r="M90">
        <f t="shared" si="91"/>
        <v>0</v>
      </c>
      <c r="N90">
        <f t="shared" si="91"/>
        <v>-1.2999999999999954</v>
      </c>
      <c r="O90">
        <f t="shared" si="91"/>
        <v>0.30000000000000426</v>
      </c>
      <c r="P90">
        <f t="shared" si="91"/>
        <v>0.40000000000000568</v>
      </c>
      <c r="Q90">
        <f t="shared" si="91"/>
        <v>0.5</v>
      </c>
      <c r="R90">
        <f t="shared" si="68"/>
        <v>7.8125E-3</v>
      </c>
    </row>
    <row r="91" spans="1:18" x14ac:dyDescent="0.25">
      <c r="A91">
        <v>90</v>
      </c>
      <c r="B91" t="s">
        <v>113</v>
      </c>
      <c r="C91">
        <v>1</v>
      </c>
      <c r="D91">
        <v>-1</v>
      </c>
      <c r="E91">
        <v>-1</v>
      </c>
      <c r="F91">
        <v>1</v>
      </c>
      <c r="G91">
        <v>1</v>
      </c>
      <c r="H91">
        <v>-1</v>
      </c>
      <c r="I91">
        <v>1</v>
      </c>
      <c r="J91">
        <v>14.8</v>
      </c>
      <c r="K91">
        <f t="shared" ref="K91:Q91" si="92">J53-J52</f>
        <v>0.10000000000000142</v>
      </c>
      <c r="L91">
        <f t="shared" si="92"/>
        <v>0.59999999999999787</v>
      </c>
      <c r="M91">
        <f t="shared" si="92"/>
        <v>0.10000000000000142</v>
      </c>
      <c r="N91">
        <f t="shared" si="92"/>
        <v>-1.1999999999999993</v>
      </c>
      <c r="O91">
        <f t="shared" si="92"/>
        <v>0.70000000000000284</v>
      </c>
      <c r="P91">
        <f t="shared" si="92"/>
        <v>0.69999999999998863</v>
      </c>
      <c r="Q91">
        <f t="shared" si="92"/>
        <v>1.300000000000006</v>
      </c>
      <c r="R91">
        <f t="shared" si="68"/>
        <v>2.0312500000000094E-2</v>
      </c>
    </row>
    <row r="92" spans="1:18" x14ac:dyDescent="0.25">
      <c r="A92">
        <v>91</v>
      </c>
      <c r="B92" t="s">
        <v>114</v>
      </c>
      <c r="C92">
        <v>-1</v>
      </c>
      <c r="D92">
        <v>1</v>
      </c>
      <c r="E92">
        <v>-1</v>
      </c>
      <c r="F92">
        <v>1</v>
      </c>
      <c r="G92">
        <v>1</v>
      </c>
      <c r="H92">
        <v>-1</v>
      </c>
      <c r="I92">
        <v>1</v>
      </c>
      <c r="J92">
        <v>14.9</v>
      </c>
      <c r="K92">
        <f t="shared" ref="K92:Q92" si="93">J55-J54</f>
        <v>1.9000000000000004</v>
      </c>
      <c r="L92">
        <f t="shared" si="93"/>
        <v>1.3000000000000007</v>
      </c>
      <c r="M92">
        <f t="shared" si="93"/>
        <v>0.20000000000000107</v>
      </c>
      <c r="N92">
        <f t="shared" si="93"/>
        <v>-0.90000000000000036</v>
      </c>
      <c r="O92">
        <f t="shared" si="93"/>
        <v>-3.5527136788005009E-15</v>
      </c>
      <c r="P92">
        <f t="shared" si="93"/>
        <v>-0.99999999999999289</v>
      </c>
      <c r="Q92">
        <f t="shared" si="93"/>
        <v>-1.4999999999999822</v>
      </c>
      <c r="R92">
        <f t="shared" si="68"/>
        <v>-2.3437499999999722E-2</v>
      </c>
    </row>
    <row r="93" spans="1:18" x14ac:dyDescent="0.25">
      <c r="A93">
        <v>92</v>
      </c>
      <c r="B93" t="s">
        <v>115</v>
      </c>
      <c r="C93">
        <v>1</v>
      </c>
      <c r="D93">
        <v>1</v>
      </c>
      <c r="E93">
        <v>-1</v>
      </c>
      <c r="F93">
        <v>1</v>
      </c>
      <c r="G93">
        <v>1</v>
      </c>
      <c r="H93">
        <v>-1</v>
      </c>
      <c r="I93">
        <v>1</v>
      </c>
      <c r="J93">
        <v>15.2</v>
      </c>
      <c r="K93">
        <f t="shared" ref="K93:Q93" si="94">J57-J56</f>
        <v>-1.0000000000000018</v>
      </c>
      <c r="L93">
        <f t="shared" si="94"/>
        <v>0.69999999999999574</v>
      </c>
      <c r="M93">
        <f t="shared" si="94"/>
        <v>-0.29999999999999893</v>
      </c>
      <c r="N93">
        <f t="shared" si="94"/>
        <v>-0.99999999999999645</v>
      </c>
      <c r="O93">
        <f t="shared" si="94"/>
        <v>0.70000000000000284</v>
      </c>
      <c r="P93">
        <f t="shared" si="94"/>
        <v>9.9999999999999645E-2</v>
      </c>
      <c r="Q93">
        <f t="shared" si="94"/>
        <v>-0.70000000000000107</v>
      </c>
      <c r="R93">
        <f t="shared" si="68"/>
        <v>-1.0937500000000017E-2</v>
      </c>
    </row>
    <row r="94" spans="1:18" x14ac:dyDescent="0.25">
      <c r="A94">
        <v>93</v>
      </c>
      <c r="B94" t="s">
        <v>116</v>
      </c>
      <c r="C94">
        <v>-1</v>
      </c>
      <c r="D94">
        <v>-1</v>
      </c>
      <c r="E94">
        <v>1</v>
      </c>
      <c r="F94">
        <v>1</v>
      </c>
      <c r="G94">
        <v>1</v>
      </c>
      <c r="H94">
        <v>-1</v>
      </c>
      <c r="I94">
        <v>1</v>
      </c>
      <c r="J94">
        <v>14.3</v>
      </c>
      <c r="K94">
        <f t="shared" ref="K94:Q94" si="95">J59-J58</f>
        <v>1.1999999999999993</v>
      </c>
      <c r="L94">
        <f t="shared" si="95"/>
        <v>0.69999999999999574</v>
      </c>
      <c r="M94">
        <f t="shared" si="95"/>
        <v>9.9999999999999645E-2</v>
      </c>
      <c r="N94">
        <f t="shared" si="95"/>
        <v>0.5</v>
      </c>
      <c r="O94">
        <f t="shared" si="95"/>
        <v>-0.1000000000000032</v>
      </c>
      <c r="P94">
        <f t="shared" si="95"/>
        <v>-0.20000000000000995</v>
      </c>
      <c r="Q94">
        <f t="shared" si="95"/>
        <v>-0.29999999999999716</v>
      </c>
      <c r="R94">
        <f t="shared" si="68"/>
        <v>-4.6874999999999556E-3</v>
      </c>
    </row>
    <row r="95" spans="1:18" x14ac:dyDescent="0.25">
      <c r="A95">
        <v>94</v>
      </c>
      <c r="B95" t="s">
        <v>117</v>
      </c>
      <c r="C95">
        <v>1</v>
      </c>
      <c r="D95">
        <v>-1</v>
      </c>
      <c r="E95">
        <v>1</v>
      </c>
      <c r="F95">
        <v>1</v>
      </c>
      <c r="G95">
        <v>1</v>
      </c>
      <c r="H95">
        <v>-1</v>
      </c>
      <c r="I95">
        <v>1</v>
      </c>
      <c r="J95">
        <v>14.8</v>
      </c>
      <c r="K95">
        <f t="shared" ref="K95:Q95" si="96">J61-J60</f>
        <v>-0.10000000000000142</v>
      </c>
      <c r="L95">
        <f t="shared" si="96"/>
        <v>0.69999999999999574</v>
      </c>
      <c r="M95">
        <f t="shared" si="96"/>
        <v>0.19999999999999929</v>
      </c>
      <c r="N95">
        <f t="shared" si="96"/>
        <v>9.9999999999997868E-2</v>
      </c>
      <c r="O95">
        <f t="shared" si="96"/>
        <v>0.50000000000000178</v>
      </c>
      <c r="P95">
        <f t="shared" si="96"/>
        <v>9.9999999999990763E-2</v>
      </c>
      <c r="Q95">
        <f t="shared" si="96"/>
        <v>-1.5000000000000089</v>
      </c>
      <c r="R95">
        <f t="shared" si="68"/>
        <v>-2.3437500000000139E-2</v>
      </c>
    </row>
    <row r="96" spans="1:18" x14ac:dyDescent="0.25">
      <c r="A96">
        <v>95</v>
      </c>
      <c r="B96" t="s">
        <v>118</v>
      </c>
      <c r="C96">
        <v>-1</v>
      </c>
      <c r="D96">
        <v>1</v>
      </c>
      <c r="E96">
        <v>1</v>
      </c>
      <c r="F96">
        <v>1</v>
      </c>
      <c r="G96">
        <v>1</v>
      </c>
      <c r="H96">
        <v>-1</v>
      </c>
      <c r="I96">
        <v>1</v>
      </c>
      <c r="J96">
        <v>14.9</v>
      </c>
      <c r="K96">
        <f t="shared" ref="K96:Q96" si="97">J63-J62</f>
        <v>2.1999999999999993</v>
      </c>
      <c r="L96">
        <f t="shared" si="97"/>
        <v>0.79999999999999716</v>
      </c>
      <c r="M96">
        <f t="shared" si="97"/>
        <v>0</v>
      </c>
      <c r="N96">
        <f t="shared" si="97"/>
        <v>9.9999999999999645E-2</v>
      </c>
      <c r="O96">
        <f t="shared" si="97"/>
        <v>0</v>
      </c>
      <c r="P96">
        <f t="shared" si="97"/>
        <v>-1.5999999999999943</v>
      </c>
      <c r="Q96">
        <f t="shared" si="97"/>
        <v>0.50000000000002487</v>
      </c>
      <c r="R96">
        <f t="shared" si="68"/>
        <v>7.8125000000003886E-3</v>
      </c>
    </row>
    <row r="97" spans="1:18" x14ac:dyDescent="0.25">
      <c r="A97">
        <v>96</v>
      </c>
      <c r="B97" t="s">
        <v>119</v>
      </c>
      <c r="C97">
        <v>1</v>
      </c>
      <c r="D97">
        <v>1</v>
      </c>
      <c r="E97">
        <v>1</v>
      </c>
      <c r="F97">
        <v>1</v>
      </c>
      <c r="G97">
        <v>1</v>
      </c>
      <c r="H97">
        <v>-1</v>
      </c>
      <c r="I97">
        <v>1</v>
      </c>
      <c r="J97">
        <v>14.9</v>
      </c>
      <c r="K97">
        <f t="shared" ref="K97:Q97" si="98">J65-J64</f>
        <v>-1.3999999999999986</v>
      </c>
      <c r="L97">
        <f t="shared" si="98"/>
        <v>0.79999999999999716</v>
      </c>
      <c r="M97">
        <f t="shared" si="98"/>
        <v>-0.39999999999999858</v>
      </c>
      <c r="N97">
        <f t="shared" si="98"/>
        <v>-0.19999999999999929</v>
      </c>
      <c r="O97">
        <f t="shared" si="98"/>
        <v>0.1000000000000032</v>
      </c>
      <c r="P97">
        <f t="shared" si="98"/>
        <v>-0.50000000000000178</v>
      </c>
      <c r="Q97">
        <f t="shared" si="98"/>
        <v>-0.69999999999999751</v>
      </c>
      <c r="R97">
        <f t="shared" si="68"/>
        <v>-1.0937499999999961E-2</v>
      </c>
    </row>
    <row r="98" spans="1:18" x14ac:dyDescent="0.25">
      <c r="A98">
        <v>97</v>
      </c>
      <c r="B98" t="s">
        <v>120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1</v>
      </c>
      <c r="I98">
        <v>1</v>
      </c>
      <c r="J98">
        <v>14.4</v>
      </c>
      <c r="K98">
        <f t="shared" ref="K98:Q98" si="99">J67-J66</f>
        <v>0.40000000000000036</v>
      </c>
      <c r="L98">
        <f t="shared" si="99"/>
        <v>-0.80000000000000071</v>
      </c>
      <c r="M98">
        <f t="shared" si="99"/>
        <v>-1.8000000000000043</v>
      </c>
      <c r="N98">
        <f t="shared" si="99"/>
        <v>-0.29999999999999716</v>
      </c>
      <c r="O98">
        <f t="shared" si="99"/>
        <v>-0.29999999999998295</v>
      </c>
      <c r="P98">
        <f t="shared" si="99"/>
        <v>2.8421709430404007E-14</v>
      </c>
      <c r="Q98">
        <f t="shared" si="99"/>
        <v>-6.8999999999999773</v>
      </c>
      <c r="R98">
        <f t="shared" si="68"/>
        <v>-0.10781249999999964</v>
      </c>
    </row>
    <row r="99" spans="1:18" x14ac:dyDescent="0.25">
      <c r="A99">
        <v>98</v>
      </c>
      <c r="B99" t="s">
        <v>121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I99">
        <v>1</v>
      </c>
      <c r="J99">
        <v>14.8</v>
      </c>
      <c r="K99">
        <f t="shared" ref="K99:Q99" si="100">J69-J68</f>
        <v>-9.9999999999999645E-2</v>
      </c>
      <c r="L99">
        <f t="shared" si="100"/>
        <v>-2.8000000000000007</v>
      </c>
      <c r="M99">
        <f t="shared" si="100"/>
        <v>-2.0999999999999943</v>
      </c>
      <c r="N99">
        <f t="shared" si="100"/>
        <v>-0.20000000000000284</v>
      </c>
      <c r="O99">
        <f t="shared" si="100"/>
        <v>-0.5</v>
      </c>
      <c r="P99">
        <f t="shared" si="100"/>
        <v>0.29999999999995453</v>
      </c>
      <c r="Q99">
        <f t="shared" si="100"/>
        <v>-2.099999999999989</v>
      </c>
      <c r="R99">
        <f t="shared" ref="R99:R130" si="101">Q99/64</f>
        <v>-3.2812499999999828E-2</v>
      </c>
    </row>
    <row r="100" spans="1:18" x14ac:dyDescent="0.25">
      <c r="A100">
        <v>99</v>
      </c>
      <c r="B100" t="s">
        <v>122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1</v>
      </c>
      <c r="I100">
        <v>1</v>
      </c>
      <c r="J100">
        <v>15.1</v>
      </c>
      <c r="K100">
        <f t="shared" ref="K100:Q100" si="102">J71-J70</f>
        <v>0.5</v>
      </c>
      <c r="L100">
        <f t="shared" si="102"/>
        <v>-1.5999999999999979</v>
      </c>
      <c r="M100">
        <f t="shared" si="102"/>
        <v>-1.6999999999999957</v>
      </c>
      <c r="N100">
        <f t="shared" si="102"/>
        <v>-9.9999999999994316E-2</v>
      </c>
      <c r="O100">
        <f t="shared" si="102"/>
        <v>-0.5999999999999801</v>
      </c>
      <c r="P100">
        <f t="shared" si="102"/>
        <v>0.20000000000000284</v>
      </c>
      <c r="Q100">
        <f t="shared" si="102"/>
        <v>-6.100000000000005</v>
      </c>
      <c r="R100">
        <f t="shared" si="101"/>
        <v>-9.5312500000000078E-2</v>
      </c>
    </row>
    <row r="101" spans="1:18" x14ac:dyDescent="0.25">
      <c r="A101">
        <v>100</v>
      </c>
      <c r="B101" t="s">
        <v>123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1</v>
      </c>
      <c r="I101">
        <v>1</v>
      </c>
      <c r="J101">
        <v>14.8</v>
      </c>
      <c r="K101">
        <f t="shared" ref="K101:Q101" si="103">J73-J72</f>
        <v>-0.19999999999999929</v>
      </c>
      <c r="L101">
        <f t="shared" si="103"/>
        <v>-3.2999999999999989</v>
      </c>
      <c r="M101">
        <f t="shared" si="103"/>
        <v>-1.8999999999999986</v>
      </c>
      <c r="N101">
        <f t="shared" si="103"/>
        <v>0</v>
      </c>
      <c r="O101">
        <f t="shared" si="103"/>
        <v>0.29999999999999716</v>
      </c>
      <c r="P101">
        <f t="shared" si="103"/>
        <v>0.90000000000000036</v>
      </c>
      <c r="Q101">
        <f t="shared" si="103"/>
        <v>-1.2999999999999918</v>
      </c>
      <c r="R101">
        <f t="shared" si="101"/>
        <v>-2.0312499999999872E-2</v>
      </c>
    </row>
    <row r="102" spans="1:18" x14ac:dyDescent="0.25">
      <c r="A102">
        <v>101</v>
      </c>
      <c r="B102" t="s">
        <v>124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14.4</v>
      </c>
      <c r="K102">
        <f t="shared" ref="K102:Q102" si="104">J75-J74</f>
        <v>0.39999999999999858</v>
      </c>
      <c r="L102">
        <f t="shared" si="104"/>
        <v>-0.79999999999999893</v>
      </c>
      <c r="M102">
        <f t="shared" si="104"/>
        <v>-2.1000000000000014</v>
      </c>
      <c r="N102">
        <f t="shared" si="104"/>
        <v>-0.29999999999999005</v>
      </c>
      <c r="O102">
        <f t="shared" si="104"/>
        <v>-0.30000000000000249</v>
      </c>
      <c r="P102">
        <f t="shared" si="104"/>
        <v>-0.19999999999999574</v>
      </c>
      <c r="Q102">
        <f t="shared" si="104"/>
        <v>0.29999999999999716</v>
      </c>
      <c r="R102">
        <f t="shared" si="101"/>
        <v>4.6874999999999556E-3</v>
      </c>
    </row>
    <row r="103" spans="1:18" x14ac:dyDescent="0.25">
      <c r="A103">
        <v>102</v>
      </c>
      <c r="B103" t="s">
        <v>125</v>
      </c>
      <c r="C103">
        <v>1</v>
      </c>
      <c r="D103">
        <v>-1</v>
      </c>
      <c r="E103">
        <v>1</v>
      </c>
      <c r="F103">
        <v>-1</v>
      </c>
      <c r="G103">
        <v>-1</v>
      </c>
      <c r="H103">
        <v>1</v>
      </c>
      <c r="I103">
        <v>1</v>
      </c>
      <c r="J103">
        <v>14.9</v>
      </c>
      <c r="K103">
        <f t="shared" ref="K103:Q103" si="105">J77-J76</f>
        <v>9.9999999999999645E-2</v>
      </c>
      <c r="L103">
        <f t="shared" si="105"/>
        <v>-2.9000000000000004</v>
      </c>
      <c r="M103">
        <f t="shared" si="105"/>
        <v>-2.3999999999999986</v>
      </c>
      <c r="N103">
        <f t="shared" si="105"/>
        <v>-0.5</v>
      </c>
      <c r="O103">
        <f t="shared" si="105"/>
        <v>-0.29999999999999893</v>
      </c>
      <c r="P103">
        <f t="shared" si="105"/>
        <v>-0.30000000000000426</v>
      </c>
      <c r="Q103">
        <f t="shared" si="105"/>
        <v>0.69999999999999751</v>
      </c>
      <c r="R103">
        <f t="shared" si="101"/>
        <v>1.0937499999999961E-2</v>
      </c>
    </row>
    <row r="104" spans="1:18" x14ac:dyDescent="0.25">
      <c r="A104">
        <v>103</v>
      </c>
      <c r="B104" t="s">
        <v>126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1</v>
      </c>
      <c r="J104">
        <v>15.1</v>
      </c>
      <c r="K104">
        <f t="shared" ref="K104:Q104" si="106">J79-J78</f>
        <v>0.5</v>
      </c>
      <c r="L104">
        <f t="shared" si="106"/>
        <v>-1.5999999999999979</v>
      </c>
      <c r="M104">
        <f t="shared" si="106"/>
        <v>-1.6999999999999957</v>
      </c>
      <c r="N104">
        <f t="shared" si="106"/>
        <v>-0.10000000000000142</v>
      </c>
      <c r="O104">
        <f t="shared" si="106"/>
        <v>0.20000000000000284</v>
      </c>
      <c r="P104">
        <f t="shared" si="106"/>
        <v>0</v>
      </c>
      <c r="Q104">
        <f t="shared" si="106"/>
        <v>0.69999999999999929</v>
      </c>
      <c r="R104">
        <f t="shared" si="101"/>
        <v>1.0937499999999989E-2</v>
      </c>
    </row>
    <row r="105" spans="1:18" x14ac:dyDescent="0.25">
      <c r="A105">
        <v>104</v>
      </c>
      <c r="B105" t="s">
        <v>127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1</v>
      </c>
      <c r="J105">
        <v>14.8</v>
      </c>
      <c r="K105">
        <f t="shared" ref="K105:Q105" si="107">J81-J80</f>
        <v>9.9999999999999645E-2</v>
      </c>
      <c r="L105">
        <f t="shared" si="107"/>
        <v>-3.3000000000000007</v>
      </c>
      <c r="M105">
        <f t="shared" si="107"/>
        <v>-2.1000000000000014</v>
      </c>
      <c r="N105">
        <f t="shared" si="107"/>
        <v>0</v>
      </c>
      <c r="O105">
        <f t="shared" si="107"/>
        <v>0.50000000000000178</v>
      </c>
      <c r="P105">
        <f t="shared" si="107"/>
        <v>0.29999999999999893</v>
      </c>
      <c r="Q105">
        <f t="shared" si="107"/>
        <v>1.0999999999999961</v>
      </c>
      <c r="R105">
        <f t="shared" si="101"/>
        <v>1.7187499999999939E-2</v>
      </c>
    </row>
    <row r="106" spans="1:18" x14ac:dyDescent="0.25">
      <c r="A106">
        <v>105</v>
      </c>
      <c r="B106" t="s">
        <v>128</v>
      </c>
      <c r="C106">
        <v>-1</v>
      </c>
      <c r="D106">
        <v>-1</v>
      </c>
      <c r="E106">
        <v>-1</v>
      </c>
      <c r="F106">
        <v>1</v>
      </c>
      <c r="G106">
        <v>-1</v>
      </c>
      <c r="H106">
        <v>1</v>
      </c>
      <c r="I106">
        <v>1</v>
      </c>
      <c r="J106">
        <v>14.3</v>
      </c>
      <c r="K106">
        <f t="shared" ref="K106:Q106" si="108">J83-J82</f>
        <v>0.29999999999999893</v>
      </c>
      <c r="L106">
        <f t="shared" si="108"/>
        <v>-0.90000000000000036</v>
      </c>
      <c r="M106">
        <f t="shared" si="108"/>
        <v>0</v>
      </c>
      <c r="N106">
        <f t="shared" si="108"/>
        <v>0.29999999999999893</v>
      </c>
      <c r="O106">
        <f t="shared" si="108"/>
        <v>0.10000000000000142</v>
      </c>
      <c r="P106">
        <f t="shared" si="108"/>
        <v>-0.20000000000000284</v>
      </c>
      <c r="Q106">
        <f t="shared" si="108"/>
        <v>1.0999999999999943</v>
      </c>
      <c r="R106">
        <f t="shared" si="101"/>
        <v>1.7187499999999911E-2</v>
      </c>
    </row>
    <row r="107" spans="1:18" x14ac:dyDescent="0.25">
      <c r="A107">
        <v>106</v>
      </c>
      <c r="B107" t="s">
        <v>129</v>
      </c>
      <c r="C107">
        <v>1</v>
      </c>
      <c r="D107">
        <v>-1</v>
      </c>
      <c r="E107">
        <v>-1</v>
      </c>
      <c r="F107">
        <v>1</v>
      </c>
      <c r="G107">
        <v>-1</v>
      </c>
      <c r="H107">
        <v>1</v>
      </c>
      <c r="I107">
        <v>1</v>
      </c>
      <c r="J107">
        <v>14.5</v>
      </c>
      <c r="K107">
        <f t="shared" ref="K107:Q107" si="109">J85-J84</f>
        <v>-9.9999999999999645E-2</v>
      </c>
      <c r="L107">
        <f t="shared" si="109"/>
        <v>-3</v>
      </c>
      <c r="M107">
        <f t="shared" si="109"/>
        <v>-0.29999999999999716</v>
      </c>
      <c r="N107">
        <f t="shared" si="109"/>
        <v>0.39999999999999858</v>
      </c>
      <c r="O107">
        <f t="shared" si="109"/>
        <v>-0.30000000000001137</v>
      </c>
      <c r="P107">
        <f t="shared" si="109"/>
        <v>9.9999999999994316E-2</v>
      </c>
      <c r="Q107">
        <f t="shared" si="109"/>
        <v>-1.699999999999994</v>
      </c>
      <c r="R107">
        <f t="shared" si="101"/>
        <v>-2.6562499999999906E-2</v>
      </c>
    </row>
    <row r="108" spans="1:18" x14ac:dyDescent="0.25">
      <c r="A108">
        <v>107</v>
      </c>
      <c r="B108" t="s">
        <v>130</v>
      </c>
      <c r="C108">
        <v>-1</v>
      </c>
      <c r="D108">
        <v>1</v>
      </c>
      <c r="E108">
        <v>-1</v>
      </c>
      <c r="F108">
        <v>1</v>
      </c>
      <c r="G108">
        <v>-1</v>
      </c>
      <c r="H108">
        <v>1</v>
      </c>
      <c r="I108">
        <v>1</v>
      </c>
      <c r="J108">
        <v>15.2</v>
      </c>
      <c r="K108">
        <f t="shared" ref="K108:Q108" si="110">J87-J86</f>
        <v>0.40000000000000036</v>
      </c>
      <c r="L108">
        <f t="shared" si="110"/>
        <v>-1.0999999999999996</v>
      </c>
      <c r="M108">
        <f t="shared" si="110"/>
        <v>0</v>
      </c>
      <c r="N108">
        <f t="shared" si="110"/>
        <v>-0.30000000000000249</v>
      </c>
      <c r="O108">
        <f t="shared" si="110"/>
        <v>-1.1999999999999922</v>
      </c>
      <c r="P108">
        <f t="shared" si="110"/>
        <v>3.5527136788005009E-15</v>
      </c>
      <c r="Q108">
        <f t="shared" si="110"/>
        <v>1.4999999999999964</v>
      </c>
      <c r="R108">
        <f t="shared" si="101"/>
        <v>2.3437499999999944E-2</v>
      </c>
    </row>
    <row r="109" spans="1:18" x14ac:dyDescent="0.25">
      <c r="A109">
        <v>108</v>
      </c>
      <c r="B109" t="s">
        <v>131</v>
      </c>
      <c r="C109">
        <v>1</v>
      </c>
      <c r="D109">
        <v>1</v>
      </c>
      <c r="E109">
        <v>-1</v>
      </c>
      <c r="F109">
        <v>1</v>
      </c>
      <c r="G109">
        <v>-1</v>
      </c>
      <c r="H109">
        <v>1</v>
      </c>
      <c r="I109">
        <v>1</v>
      </c>
      <c r="J109">
        <v>14.9</v>
      </c>
      <c r="K109">
        <f t="shared" ref="K109:Q109" si="111">J89-J88</f>
        <v>0</v>
      </c>
      <c r="L109">
        <f t="shared" si="111"/>
        <v>-3.7000000000000011</v>
      </c>
      <c r="M109">
        <f t="shared" si="111"/>
        <v>-0.30000000000000071</v>
      </c>
      <c r="N109">
        <f t="shared" si="111"/>
        <v>7.1054273576010019E-15</v>
      </c>
      <c r="O109">
        <f t="shared" si="111"/>
        <v>-0.5</v>
      </c>
      <c r="P109">
        <f t="shared" si="111"/>
        <v>-0.49999999999999822</v>
      </c>
      <c r="Q109">
        <f t="shared" si="111"/>
        <v>-1.2999999999999954</v>
      </c>
      <c r="R109">
        <f t="shared" si="101"/>
        <v>-2.0312499999999928E-2</v>
      </c>
    </row>
    <row r="110" spans="1:18" x14ac:dyDescent="0.25">
      <c r="A110">
        <v>109</v>
      </c>
      <c r="B110" t="s">
        <v>132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1</v>
      </c>
      <c r="I110">
        <v>1</v>
      </c>
      <c r="J110">
        <v>14.3</v>
      </c>
      <c r="K110">
        <f t="shared" ref="K110:Q110" si="112">J91-J90</f>
        <v>0.5</v>
      </c>
      <c r="L110">
        <f t="shared" si="112"/>
        <v>-1</v>
      </c>
      <c r="M110">
        <f t="shared" si="112"/>
        <v>-9.9999999999997868E-2</v>
      </c>
      <c r="N110">
        <f t="shared" si="112"/>
        <v>0.10000000000000142</v>
      </c>
      <c r="O110">
        <f t="shared" si="112"/>
        <v>9.9999999999996092E-2</v>
      </c>
      <c r="P110">
        <f t="shared" si="112"/>
        <v>0.39999999999999858</v>
      </c>
      <c r="Q110">
        <f t="shared" si="112"/>
        <v>0.29999999999998295</v>
      </c>
      <c r="R110">
        <f t="shared" si="101"/>
        <v>4.6874999999997335E-3</v>
      </c>
    </row>
    <row r="111" spans="1:18" x14ac:dyDescent="0.25">
      <c r="A111">
        <v>110</v>
      </c>
      <c r="B111" t="s">
        <v>133</v>
      </c>
      <c r="C111">
        <v>1</v>
      </c>
      <c r="D111">
        <v>-1</v>
      </c>
      <c r="E111">
        <v>1</v>
      </c>
      <c r="F111">
        <v>1</v>
      </c>
      <c r="G111">
        <v>-1</v>
      </c>
      <c r="H111">
        <v>1</v>
      </c>
      <c r="I111">
        <v>1</v>
      </c>
      <c r="J111">
        <v>14.8</v>
      </c>
      <c r="K111">
        <f t="shared" ref="K111:Q111" si="113">J93-J92</f>
        <v>0.29999999999999893</v>
      </c>
      <c r="L111">
        <f t="shared" si="113"/>
        <v>-2.9000000000000021</v>
      </c>
      <c r="M111">
        <f t="shared" si="113"/>
        <v>-0.60000000000000497</v>
      </c>
      <c r="N111">
        <f t="shared" si="113"/>
        <v>-0.5</v>
      </c>
      <c r="O111">
        <f t="shared" si="113"/>
        <v>-9.9999999999996092E-2</v>
      </c>
      <c r="P111">
        <f t="shared" si="113"/>
        <v>0.70000000000000639</v>
      </c>
      <c r="Q111">
        <f t="shared" si="113"/>
        <v>1.0999999999999925</v>
      </c>
      <c r="R111">
        <f t="shared" si="101"/>
        <v>1.7187499999999883E-2</v>
      </c>
    </row>
    <row r="112" spans="1:18" x14ac:dyDescent="0.25">
      <c r="A112">
        <v>111</v>
      </c>
      <c r="B112" t="s">
        <v>134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15.1</v>
      </c>
      <c r="K112">
        <f t="shared" ref="K112:Q112" si="114">J95-J94</f>
        <v>0.5</v>
      </c>
      <c r="L112">
        <f t="shared" si="114"/>
        <v>-1.3000000000000007</v>
      </c>
      <c r="M112">
        <f t="shared" si="114"/>
        <v>0</v>
      </c>
      <c r="N112">
        <f t="shared" si="114"/>
        <v>9.9999999999999645E-2</v>
      </c>
      <c r="O112">
        <f t="shared" si="114"/>
        <v>-0.40000000000000213</v>
      </c>
      <c r="P112">
        <f t="shared" si="114"/>
        <v>0.60000000000000497</v>
      </c>
      <c r="Q112">
        <f t="shared" si="114"/>
        <v>0.30000000000000071</v>
      </c>
      <c r="R112">
        <f t="shared" si="101"/>
        <v>4.6875000000000111E-3</v>
      </c>
    </row>
    <row r="113" spans="1:18" x14ac:dyDescent="0.25">
      <c r="A113">
        <v>112</v>
      </c>
      <c r="B113" t="s">
        <v>135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1</v>
      </c>
      <c r="J113">
        <v>14.7</v>
      </c>
      <c r="K113">
        <f t="shared" ref="K113:Q113" si="115">J97-J96</f>
        <v>0</v>
      </c>
      <c r="L113">
        <f t="shared" si="115"/>
        <v>-3.5999999999999979</v>
      </c>
      <c r="M113">
        <f t="shared" si="115"/>
        <v>0</v>
      </c>
      <c r="N113">
        <f t="shared" si="115"/>
        <v>-0.39999999999999858</v>
      </c>
      <c r="O113">
        <f t="shared" si="115"/>
        <v>-0.29999999999999893</v>
      </c>
      <c r="P113">
        <f t="shared" si="115"/>
        <v>0.1000000000000032</v>
      </c>
      <c r="Q113">
        <f t="shared" si="115"/>
        <v>1.0999999999999925</v>
      </c>
      <c r="R113">
        <f t="shared" si="101"/>
        <v>1.7187499999999883E-2</v>
      </c>
    </row>
    <row r="114" spans="1:18" x14ac:dyDescent="0.25">
      <c r="A114">
        <v>113</v>
      </c>
      <c r="B114" t="s">
        <v>136</v>
      </c>
      <c r="C114">
        <v>-1</v>
      </c>
      <c r="D114">
        <v>-1</v>
      </c>
      <c r="E114">
        <v>-1</v>
      </c>
      <c r="F114">
        <v>-1</v>
      </c>
      <c r="G114">
        <v>1</v>
      </c>
      <c r="H114">
        <v>1</v>
      </c>
      <c r="I114">
        <v>1</v>
      </c>
      <c r="J114">
        <v>14.4</v>
      </c>
      <c r="K114">
        <f t="shared" ref="K114:Q114" si="116">J99-J98</f>
        <v>0.40000000000000036</v>
      </c>
      <c r="L114">
        <f t="shared" si="116"/>
        <v>-0.5</v>
      </c>
      <c r="M114">
        <f t="shared" si="116"/>
        <v>-2</v>
      </c>
      <c r="N114">
        <f t="shared" si="116"/>
        <v>-0.29999999999999005</v>
      </c>
      <c r="O114">
        <f t="shared" si="116"/>
        <v>9.9999999999994316E-2</v>
      </c>
      <c r="P114">
        <f t="shared" si="116"/>
        <v>-0.20000000000001705</v>
      </c>
      <c r="Q114">
        <f t="shared" si="116"/>
        <v>0.2999999999999261</v>
      </c>
      <c r="R114">
        <f t="shared" si="101"/>
        <v>4.6874999999988454E-3</v>
      </c>
    </row>
    <row r="115" spans="1:18" x14ac:dyDescent="0.25">
      <c r="A115">
        <v>114</v>
      </c>
      <c r="B115" t="s">
        <v>137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1</v>
      </c>
      <c r="I115">
        <v>1</v>
      </c>
      <c r="J115">
        <v>14.8</v>
      </c>
      <c r="K115">
        <f t="shared" ref="K115:Q115" si="117">J101-J100</f>
        <v>-0.29999999999999893</v>
      </c>
      <c r="L115">
        <f t="shared" si="117"/>
        <v>-0.69999999999999929</v>
      </c>
      <c r="M115">
        <f t="shared" si="117"/>
        <v>-1.7000000000000011</v>
      </c>
      <c r="N115">
        <f t="shared" si="117"/>
        <v>-0.20000000000000284</v>
      </c>
      <c r="O115">
        <f t="shared" si="117"/>
        <v>9.9999999999994316E-2</v>
      </c>
      <c r="P115">
        <f t="shared" si="117"/>
        <v>0.89999999999997726</v>
      </c>
      <c r="Q115">
        <f t="shared" si="117"/>
        <v>0.69999999999999751</v>
      </c>
      <c r="R115">
        <f t="shared" si="101"/>
        <v>1.0937499999999961E-2</v>
      </c>
    </row>
    <row r="116" spans="1:18" x14ac:dyDescent="0.25">
      <c r="A116">
        <v>115</v>
      </c>
      <c r="B116" t="s">
        <v>138</v>
      </c>
      <c r="C116">
        <v>-1</v>
      </c>
      <c r="D116">
        <v>1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15</v>
      </c>
      <c r="K116">
        <f t="shared" ref="K116:Q116" si="118">J103-J102</f>
        <v>0.5</v>
      </c>
      <c r="L116">
        <f t="shared" si="118"/>
        <v>-0.29999999999999893</v>
      </c>
      <c r="M116">
        <f t="shared" si="118"/>
        <v>-2.1000000000000014</v>
      </c>
      <c r="N116">
        <f t="shared" si="118"/>
        <v>-0.29999999999999716</v>
      </c>
      <c r="O116">
        <f t="shared" si="118"/>
        <v>-0.20000000000000995</v>
      </c>
      <c r="P116">
        <f t="shared" si="118"/>
        <v>3.5527136788005009E-15</v>
      </c>
      <c r="Q116">
        <f t="shared" si="118"/>
        <v>-0.10000000000000853</v>
      </c>
      <c r="R116">
        <f t="shared" si="101"/>
        <v>-1.5625000000001332E-3</v>
      </c>
    </row>
    <row r="117" spans="1:18" x14ac:dyDescent="0.25">
      <c r="A117">
        <v>116</v>
      </c>
      <c r="B117" t="s">
        <v>139</v>
      </c>
      <c r="C117">
        <v>1</v>
      </c>
      <c r="D117">
        <v>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14.9</v>
      </c>
      <c r="K117">
        <f t="shared" ref="K117:Q117" si="119">J105-J104</f>
        <v>-0.29999999999999893</v>
      </c>
      <c r="L117">
        <f t="shared" si="119"/>
        <v>-0.40000000000000036</v>
      </c>
      <c r="M117">
        <f t="shared" si="119"/>
        <v>-1.7000000000000028</v>
      </c>
      <c r="N117">
        <f t="shared" si="119"/>
        <v>-0.40000000000000568</v>
      </c>
      <c r="O117">
        <f t="shared" si="119"/>
        <v>0.10000000000000142</v>
      </c>
      <c r="P117">
        <f t="shared" si="119"/>
        <v>0.29999999999999893</v>
      </c>
      <c r="Q117">
        <f t="shared" si="119"/>
        <v>0.29999999999999893</v>
      </c>
      <c r="R117">
        <f t="shared" si="101"/>
        <v>4.6874999999999833E-3</v>
      </c>
    </row>
    <row r="118" spans="1:18" x14ac:dyDescent="0.25">
      <c r="A118">
        <v>117</v>
      </c>
      <c r="B118" t="s">
        <v>140</v>
      </c>
      <c r="C118">
        <v>-1</v>
      </c>
      <c r="D118">
        <v>-1</v>
      </c>
      <c r="E118">
        <v>1</v>
      </c>
      <c r="F118">
        <v>-1</v>
      </c>
      <c r="G118">
        <v>1</v>
      </c>
      <c r="H118">
        <v>1</v>
      </c>
      <c r="I118">
        <v>1</v>
      </c>
      <c r="J118">
        <v>14.4</v>
      </c>
      <c r="K118">
        <f t="shared" ref="K118:Q118" si="120">J107-J106</f>
        <v>0.19999999999999929</v>
      </c>
      <c r="L118">
        <f t="shared" si="120"/>
        <v>-0.39999999999999858</v>
      </c>
      <c r="M118">
        <f t="shared" si="120"/>
        <v>-2.0999999999999996</v>
      </c>
      <c r="N118">
        <f t="shared" si="120"/>
        <v>-0.29999999999999716</v>
      </c>
      <c r="O118">
        <f t="shared" si="120"/>
        <v>9.9999999999999645E-2</v>
      </c>
      <c r="P118">
        <f t="shared" si="120"/>
        <v>-0.40000000000001279</v>
      </c>
      <c r="Q118">
        <f t="shared" si="120"/>
        <v>0.29999999999999716</v>
      </c>
      <c r="R118">
        <f t="shared" si="101"/>
        <v>4.6874999999999556E-3</v>
      </c>
    </row>
    <row r="119" spans="1:18" x14ac:dyDescent="0.25">
      <c r="A119">
        <v>118</v>
      </c>
      <c r="B119" t="s">
        <v>141</v>
      </c>
      <c r="C119">
        <v>1</v>
      </c>
      <c r="D119">
        <v>-1</v>
      </c>
      <c r="E119">
        <v>1</v>
      </c>
      <c r="F119">
        <v>-1</v>
      </c>
      <c r="G119">
        <v>1</v>
      </c>
      <c r="H119">
        <v>1</v>
      </c>
      <c r="I119">
        <v>1</v>
      </c>
      <c r="J119">
        <v>14.8</v>
      </c>
      <c r="K119">
        <f t="shared" ref="K119:Q119" si="121">J109-J108</f>
        <v>-0.29999999999999893</v>
      </c>
      <c r="L119">
        <f t="shared" si="121"/>
        <v>-0.40000000000000036</v>
      </c>
      <c r="M119">
        <f t="shared" si="121"/>
        <v>-2.6000000000000014</v>
      </c>
      <c r="N119">
        <f t="shared" si="121"/>
        <v>-0.30000000000000071</v>
      </c>
      <c r="O119">
        <f t="shared" si="121"/>
        <v>0.30000000000000959</v>
      </c>
      <c r="P119">
        <f t="shared" si="121"/>
        <v>0.69999999999999218</v>
      </c>
      <c r="Q119">
        <f t="shared" si="121"/>
        <v>-0.50000000000000178</v>
      </c>
      <c r="R119">
        <f t="shared" si="101"/>
        <v>-7.8125000000000278E-3</v>
      </c>
    </row>
    <row r="120" spans="1:18" x14ac:dyDescent="0.25">
      <c r="A120">
        <v>119</v>
      </c>
      <c r="B120" t="s">
        <v>142</v>
      </c>
      <c r="C120">
        <v>-1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15</v>
      </c>
      <c r="K120">
        <f t="shared" ref="K120:Q120" si="122">J111-J110</f>
        <v>0.5</v>
      </c>
      <c r="L120">
        <f t="shared" si="122"/>
        <v>-0.20000000000000107</v>
      </c>
      <c r="M120">
        <f t="shared" si="122"/>
        <v>-1.9000000000000021</v>
      </c>
      <c r="N120">
        <f t="shared" si="122"/>
        <v>-0.50000000000000711</v>
      </c>
      <c r="O120">
        <f t="shared" si="122"/>
        <v>-0.60000000000000142</v>
      </c>
      <c r="P120">
        <f t="shared" si="122"/>
        <v>-0.19999999999999218</v>
      </c>
      <c r="Q120">
        <f t="shared" si="122"/>
        <v>0.30000000000000782</v>
      </c>
      <c r="R120">
        <f t="shared" si="101"/>
        <v>4.6875000000001221E-3</v>
      </c>
    </row>
    <row r="121" spans="1:18" x14ac:dyDescent="0.25">
      <c r="A121">
        <v>120</v>
      </c>
      <c r="B121" t="s">
        <v>143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1</v>
      </c>
      <c r="J121">
        <v>14.9</v>
      </c>
      <c r="K121">
        <f t="shared" ref="K121:Q121" si="123">J113-J112</f>
        <v>-0.40000000000000036</v>
      </c>
      <c r="L121">
        <f t="shared" si="123"/>
        <v>-0.5</v>
      </c>
      <c r="M121">
        <f t="shared" si="123"/>
        <v>-2.2999999999999972</v>
      </c>
      <c r="N121">
        <f t="shared" si="123"/>
        <v>0</v>
      </c>
      <c r="O121">
        <f t="shared" si="123"/>
        <v>-0.49999999999999822</v>
      </c>
      <c r="P121">
        <f t="shared" si="123"/>
        <v>0.1000000000000032</v>
      </c>
      <c r="Q121">
        <f t="shared" si="123"/>
        <v>-0.50000000000000178</v>
      </c>
      <c r="R121">
        <f t="shared" si="101"/>
        <v>-7.8125000000000278E-3</v>
      </c>
    </row>
    <row r="122" spans="1:18" x14ac:dyDescent="0.25">
      <c r="A122">
        <v>121</v>
      </c>
      <c r="B122" t="s">
        <v>144</v>
      </c>
      <c r="C122">
        <v>-1</v>
      </c>
      <c r="D122">
        <v>-1</v>
      </c>
      <c r="E122">
        <v>-1</v>
      </c>
      <c r="F122">
        <v>1</v>
      </c>
      <c r="G122">
        <v>1</v>
      </c>
      <c r="H122">
        <v>1</v>
      </c>
      <c r="I122">
        <v>1</v>
      </c>
      <c r="J122">
        <v>14.3</v>
      </c>
      <c r="K122">
        <f t="shared" ref="K122:Q122" si="124">J115-J114</f>
        <v>0.40000000000000036</v>
      </c>
      <c r="L122">
        <f t="shared" si="124"/>
        <v>-0.69999999999999929</v>
      </c>
      <c r="M122">
        <f t="shared" si="124"/>
        <v>-0.19999999999999929</v>
      </c>
      <c r="N122">
        <f t="shared" si="124"/>
        <v>0.29999999999999893</v>
      </c>
      <c r="O122">
        <f t="shared" si="124"/>
        <v>9.999999999998721E-2</v>
      </c>
      <c r="P122">
        <f t="shared" si="124"/>
        <v>0</v>
      </c>
      <c r="Q122">
        <f t="shared" si="124"/>
        <v>1.0999999999999943</v>
      </c>
      <c r="R122">
        <f t="shared" si="101"/>
        <v>1.7187499999999911E-2</v>
      </c>
    </row>
    <row r="123" spans="1:18" x14ac:dyDescent="0.25">
      <c r="A123">
        <v>122</v>
      </c>
      <c r="B123" t="s">
        <v>145</v>
      </c>
      <c r="C123">
        <v>1</v>
      </c>
      <c r="D123">
        <v>-1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14.8</v>
      </c>
      <c r="K123">
        <f t="shared" ref="K123:Q123" si="125">J117-J116</f>
        <v>-9.9999999999999645E-2</v>
      </c>
      <c r="L123">
        <f t="shared" si="125"/>
        <v>-0.79999999999999893</v>
      </c>
      <c r="M123">
        <f t="shared" si="125"/>
        <v>-0.10000000000000142</v>
      </c>
      <c r="N123">
        <f t="shared" si="125"/>
        <v>0.39999999999999858</v>
      </c>
      <c r="O123">
        <f t="shared" si="125"/>
        <v>-0.10000000000000853</v>
      </c>
      <c r="P123">
        <f t="shared" si="125"/>
        <v>0.30000000000001137</v>
      </c>
      <c r="Q123">
        <f t="shared" si="125"/>
        <v>0.29999999999999538</v>
      </c>
      <c r="R123">
        <f t="shared" si="101"/>
        <v>4.6874999999999278E-3</v>
      </c>
    </row>
    <row r="124" spans="1:18" x14ac:dyDescent="0.25">
      <c r="A124">
        <v>123</v>
      </c>
      <c r="B124" t="s">
        <v>146</v>
      </c>
      <c r="C124">
        <v>-1</v>
      </c>
      <c r="D124">
        <v>1</v>
      </c>
      <c r="E124">
        <v>-1</v>
      </c>
      <c r="F124">
        <v>1</v>
      </c>
      <c r="G124">
        <v>1</v>
      </c>
      <c r="H124">
        <v>1</v>
      </c>
      <c r="I124">
        <v>1</v>
      </c>
      <c r="J124">
        <v>14.9</v>
      </c>
      <c r="K124">
        <f t="shared" ref="K124:Q124" si="126">J119-J118</f>
        <v>0.40000000000000036</v>
      </c>
      <c r="L124">
        <f t="shared" si="126"/>
        <v>-0.49999999999999822</v>
      </c>
      <c r="M124">
        <f t="shared" si="126"/>
        <v>-1.7763568394002505E-15</v>
      </c>
      <c r="N124">
        <f t="shared" si="126"/>
        <v>-0.50000000000000178</v>
      </c>
      <c r="O124">
        <f t="shared" si="126"/>
        <v>-3.5527136788005009E-15</v>
      </c>
      <c r="P124">
        <f t="shared" si="126"/>
        <v>0.20000000000000995</v>
      </c>
      <c r="Q124">
        <f t="shared" si="126"/>
        <v>1.100000000000005</v>
      </c>
      <c r="R124">
        <f t="shared" si="101"/>
        <v>1.7187500000000078E-2</v>
      </c>
    </row>
    <row r="125" spans="1:18" x14ac:dyDescent="0.25">
      <c r="A125">
        <v>124</v>
      </c>
      <c r="B125" t="s">
        <v>147</v>
      </c>
      <c r="C125">
        <v>1</v>
      </c>
      <c r="D125">
        <v>1</v>
      </c>
      <c r="E125">
        <v>-1</v>
      </c>
      <c r="F125">
        <v>1</v>
      </c>
      <c r="G125">
        <v>1</v>
      </c>
      <c r="H125">
        <v>1</v>
      </c>
      <c r="I125">
        <v>1</v>
      </c>
      <c r="J125">
        <v>15</v>
      </c>
      <c r="K125">
        <f t="shared" ref="K125:Q125" si="127">J121-J120</f>
        <v>-9.9999999999999645E-2</v>
      </c>
      <c r="L125">
        <f t="shared" si="127"/>
        <v>-0.90000000000000036</v>
      </c>
      <c r="M125">
        <f t="shared" si="127"/>
        <v>-0.29999999999999893</v>
      </c>
      <c r="N125">
        <f t="shared" si="127"/>
        <v>-0.39999999999999503</v>
      </c>
      <c r="O125">
        <f t="shared" si="127"/>
        <v>0.50000000000000711</v>
      </c>
      <c r="P125">
        <f t="shared" si="127"/>
        <v>0.1000000000000032</v>
      </c>
      <c r="Q125">
        <f t="shared" si="127"/>
        <v>0.29999999999999538</v>
      </c>
      <c r="R125">
        <f t="shared" si="101"/>
        <v>4.6874999999999278E-3</v>
      </c>
    </row>
    <row r="126" spans="1:18" x14ac:dyDescent="0.25">
      <c r="A126">
        <v>125</v>
      </c>
      <c r="B126" t="s">
        <v>148</v>
      </c>
      <c r="C126">
        <v>-1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14.3</v>
      </c>
      <c r="K126">
        <f t="shared" ref="K126:Q126" si="128">J123-J122</f>
        <v>0.5</v>
      </c>
      <c r="L126">
        <f t="shared" si="128"/>
        <v>-0.5</v>
      </c>
      <c r="M126">
        <f t="shared" si="128"/>
        <v>-9.9999999999999645E-2</v>
      </c>
      <c r="N126">
        <f t="shared" si="128"/>
        <v>9.9999999999997868E-2</v>
      </c>
      <c r="O126">
        <f t="shared" si="128"/>
        <v>9.9999999999999645E-2</v>
      </c>
      <c r="P126">
        <f t="shared" si="128"/>
        <v>-0.19999999999999574</v>
      </c>
      <c r="Q126">
        <f t="shared" si="128"/>
        <v>0.30000000000001137</v>
      </c>
      <c r="R126">
        <f t="shared" si="101"/>
        <v>4.6875000000001776E-3</v>
      </c>
    </row>
    <row r="127" spans="1:18" x14ac:dyDescent="0.25">
      <c r="A127">
        <v>126</v>
      </c>
      <c r="B127" t="s">
        <v>149</v>
      </c>
      <c r="C127">
        <v>1</v>
      </c>
      <c r="D127">
        <v>-1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14.8</v>
      </c>
      <c r="K127">
        <f t="shared" ref="K127:Q127" si="129">J125-J124</f>
        <v>9.9999999999999645E-2</v>
      </c>
      <c r="L127">
        <f t="shared" si="129"/>
        <v>-0.5</v>
      </c>
      <c r="M127">
        <f t="shared" si="129"/>
        <v>-0.40000000000000213</v>
      </c>
      <c r="N127">
        <f t="shared" si="129"/>
        <v>-0.29999999999999716</v>
      </c>
      <c r="O127">
        <f t="shared" si="129"/>
        <v>0.10000000000000675</v>
      </c>
      <c r="P127">
        <f t="shared" si="129"/>
        <v>0.50000000000001066</v>
      </c>
      <c r="Q127">
        <f t="shared" si="129"/>
        <v>-0.10000000000000675</v>
      </c>
      <c r="R127">
        <f t="shared" si="101"/>
        <v>-1.5625000000001055E-3</v>
      </c>
    </row>
    <row r="128" spans="1:18" x14ac:dyDescent="0.25">
      <c r="A128">
        <v>127</v>
      </c>
      <c r="B128" t="s">
        <v>150</v>
      </c>
      <c r="C128">
        <v>-1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15.1</v>
      </c>
      <c r="K128">
        <f t="shared" ref="K128:Q128" si="130">J127-J126</f>
        <v>0.5</v>
      </c>
      <c r="L128">
        <f t="shared" si="130"/>
        <v>-0.40000000000000036</v>
      </c>
      <c r="M128">
        <f t="shared" si="130"/>
        <v>0</v>
      </c>
      <c r="N128">
        <f t="shared" si="130"/>
        <v>-0.30000000000000249</v>
      </c>
      <c r="O128">
        <f t="shared" si="130"/>
        <v>-0.39999999999999503</v>
      </c>
      <c r="P128">
        <f t="shared" si="130"/>
        <v>7.1054273576010019E-15</v>
      </c>
      <c r="Q128">
        <f t="shared" si="130"/>
        <v>0.70000000000000639</v>
      </c>
      <c r="R128">
        <f t="shared" si="101"/>
        <v>1.09375000000001E-2</v>
      </c>
    </row>
    <row r="129" spans="1:18" x14ac:dyDescent="0.25">
      <c r="A129">
        <v>128</v>
      </c>
      <c r="B129" t="s">
        <v>151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14.8</v>
      </c>
      <c r="K129">
        <f t="shared" ref="K129:Q129" si="131">J129-J128</f>
        <v>-0.29999999999999893</v>
      </c>
      <c r="L129">
        <f t="shared" si="131"/>
        <v>-0.79999999999999893</v>
      </c>
      <c r="M129">
        <f t="shared" si="131"/>
        <v>-0.39999999999999858</v>
      </c>
      <c r="N129">
        <f t="shared" si="131"/>
        <v>-0.39999999999999858</v>
      </c>
      <c r="O129">
        <f t="shared" si="131"/>
        <v>-9.9999999999996092E-2</v>
      </c>
      <c r="P129">
        <f t="shared" si="131"/>
        <v>0.29999999999999893</v>
      </c>
      <c r="Q129">
        <f t="shared" si="131"/>
        <v>0.29999999999999183</v>
      </c>
      <c r="R129">
        <f t="shared" si="101"/>
        <v>4.6874999999998723E-3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29"/>
  <sheetViews>
    <sheetView workbookViewId="0"/>
  </sheetViews>
  <sheetFormatPr baseColWidth="10" defaultColWidth="9.140625" defaultRowHeight="15" x14ac:dyDescent="0.25"/>
  <sheetData>
    <row r="1" spans="1:18" x14ac:dyDescent="0.25">
      <c r="A1" t="s">
        <v>202</v>
      </c>
      <c r="B1" t="s">
        <v>203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</row>
    <row r="2" spans="1:18" x14ac:dyDescent="0.25">
      <c r="A2">
        <v>1</v>
      </c>
      <c r="B2" t="s">
        <v>24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2975.969910495558</v>
      </c>
      <c r="K2">
        <f t="shared" ref="K2:Q2" si="0">J2+J3</f>
        <v>5826.68192095836</v>
      </c>
      <c r="L2">
        <f t="shared" si="0"/>
        <v>10876.421383760669</v>
      </c>
      <c r="M2">
        <f t="shared" si="0"/>
        <v>21658.589979101351</v>
      </c>
      <c r="N2">
        <f t="shared" si="0"/>
        <v>41193.676557204475</v>
      </c>
      <c r="O2">
        <f t="shared" si="0"/>
        <v>83185.695080950623</v>
      </c>
      <c r="P2">
        <f t="shared" si="0"/>
        <v>164463.99427911741</v>
      </c>
      <c r="Q2">
        <f t="shared" si="0"/>
        <v>286628.37951399724</v>
      </c>
      <c r="R2">
        <f>Q2/128</f>
        <v>2239.2842149531034</v>
      </c>
    </row>
    <row r="3" spans="1:18" x14ac:dyDescent="0.25">
      <c r="A3">
        <v>2</v>
      </c>
      <c r="B3" t="s">
        <v>25</v>
      </c>
      <c r="C3">
        <v>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2850.712010462802</v>
      </c>
      <c r="K3">
        <f t="shared" ref="K3:Q3" si="1">J4+J5</f>
        <v>5049.7394628023103</v>
      </c>
      <c r="L3">
        <f t="shared" si="1"/>
        <v>10782.168595340683</v>
      </c>
      <c r="M3">
        <f t="shared" si="1"/>
        <v>19535.086578103124</v>
      </c>
      <c r="N3">
        <f t="shared" si="1"/>
        <v>41992.018523746141</v>
      </c>
      <c r="O3">
        <f t="shared" si="1"/>
        <v>81278.299198166787</v>
      </c>
      <c r="P3">
        <f t="shared" si="1"/>
        <v>122164.38523487982</v>
      </c>
      <c r="Q3">
        <f t="shared" si="1"/>
        <v>-10779.387441107583</v>
      </c>
      <c r="R3">
        <f t="shared" ref="R3:R34" si="2">Q3/64</f>
        <v>-168.42792876730599</v>
      </c>
    </row>
    <row r="4" spans="1:18" x14ac:dyDescent="0.25">
      <c r="A4">
        <v>3</v>
      </c>
      <c r="B4" t="s">
        <v>26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2646.5228539095629</v>
      </c>
      <c r="K4">
        <f t="shared" ref="K4:Q4" si="3">J6+J7</f>
        <v>5840.4661400484874</v>
      </c>
      <c r="L4">
        <f t="shared" si="3"/>
        <v>9772.4184860345413</v>
      </c>
      <c r="M4">
        <f t="shared" si="3"/>
        <v>21941.286538432742</v>
      </c>
      <c r="N4">
        <f t="shared" si="3"/>
        <v>40130.065610748454</v>
      </c>
      <c r="O4">
        <f t="shared" si="3"/>
        <v>61850.675969671895</v>
      </c>
      <c r="P4">
        <f t="shared" si="3"/>
        <v>-8149.3246074377776</v>
      </c>
      <c r="Q4">
        <f t="shared" si="3"/>
        <v>-23159.054557710242</v>
      </c>
      <c r="R4">
        <f t="shared" si="2"/>
        <v>-361.86022746422253</v>
      </c>
    </row>
    <row r="5" spans="1:18" x14ac:dyDescent="0.25">
      <c r="A5">
        <v>4</v>
      </c>
      <c r="B5" t="s">
        <v>27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2403.216608892747</v>
      </c>
      <c r="K5">
        <f t="shared" ref="K5:Q5" si="4">J8+J9</f>
        <v>4941.7024552921957</v>
      </c>
      <c r="L5">
        <f t="shared" si="4"/>
        <v>9762.6680920685831</v>
      </c>
      <c r="M5">
        <f t="shared" si="4"/>
        <v>20050.731985313403</v>
      </c>
      <c r="N5">
        <f t="shared" si="4"/>
        <v>41148.233587418334</v>
      </c>
      <c r="O5">
        <f t="shared" si="4"/>
        <v>60313.70926520793</v>
      </c>
      <c r="P5">
        <f t="shared" si="4"/>
        <v>-2630.0628336698055</v>
      </c>
      <c r="Q5">
        <f t="shared" si="4"/>
        <v>-5312.7932759880641</v>
      </c>
      <c r="R5">
        <f t="shared" si="2"/>
        <v>-83.012394937313502</v>
      </c>
    </row>
    <row r="6" spans="1:18" x14ac:dyDescent="0.25">
      <c r="A6">
        <v>5</v>
      </c>
      <c r="B6" t="s">
        <v>28</v>
      </c>
      <c r="C6">
        <v>-1</v>
      </c>
      <c r="D6">
        <v>-1</v>
      </c>
      <c r="E6">
        <v>1</v>
      </c>
      <c r="F6">
        <v>-1</v>
      </c>
      <c r="G6">
        <v>-1</v>
      </c>
      <c r="H6">
        <v>-1</v>
      </c>
      <c r="I6">
        <v>-1</v>
      </c>
      <c r="J6">
        <v>2984.779719191215</v>
      </c>
      <c r="K6">
        <f t="shared" ref="K6:Q6" si="5">J10+J11</f>
        <v>5388.580172765387</v>
      </c>
      <c r="L6">
        <f t="shared" si="5"/>
        <v>11051.093023817484</v>
      </c>
      <c r="M6">
        <f t="shared" si="5"/>
        <v>21231.692424984263</v>
      </c>
      <c r="N6">
        <f t="shared" si="5"/>
        <v>30654.940841513817</v>
      </c>
      <c r="O6">
        <f t="shared" si="5"/>
        <v>-3700.6616454111399</v>
      </c>
      <c r="P6">
        <f t="shared" si="5"/>
        <v>-15907.831844243712</v>
      </c>
      <c r="Q6">
        <f t="shared" si="5"/>
        <v>-216.12914458092746</v>
      </c>
      <c r="R6">
        <f t="shared" si="2"/>
        <v>-3.3770178840769915</v>
      </c>
    </row>
    <row r="7" spans="1:18" x14ac:dyDescent="0.25">
      <c r="A7">
        <v>6</v>
      </c>
      <c r="B7" t="s">
        <v>29</v>
      </c>
      <c r="C7">
        <v>1</v>
      </c>
      <c r="D7">
        <v>-1</v>
      </c>
      <c r="E7">
        <v>1</v>
      </c>
      <c r="F7">
        <v>-1</v>
      </c>
      <c r="G7">
        <v>-1</v>
      </c>
      <c r="H7">
        <v>-1</v>
      </c>
      <c r="I7">
        <v>-1</v>
      </c>
      <c r="J7">
        <v>2855.6864208572729</v>
      </c>
      <c r="K7">
        <f t="shared" ref="K7:Q7" si="6">J12+J13</f>
        <v>4383.8383132691542</v>
      </c>
      <c r="L7">
        <f t="shared" si="6"/>
        <v>10890.193514615257</v>
      </c>
      <c r="M7">
        <f t="shared" si="6"/>
        <v>18898.373185764187</v>
      </c>
      <c r="N7">
        <f t="shared" si="6"/>
        <v>31195.735128158081</v>
      </c>
      <c r="O7">
        <f t="shared" si="6"/>
        <v>-4448.6629620266376</v>
      </c>
      <c r="P7">
        <f t="shared" si="6"/>
        <v>-7251.2227134665291</v>
      </c>
      <c r="Q7">
        <f t="shared" si="6"/>
        <v>-1281.5579479522846</v>
      </c>
      <c r="R7">
        <f t="shared" si="2"/>
        <v>-20.024342936754447</v>
      </c>
    </row>
    <row r="8" spans="1:18" x14ac:dyDescent="0.25">
      <c r="A8">
        <v>7</v>
      </c>
      <c r="B8" t="s">
        <v>30</v>
      </c>
      <c r="C8">
        <v>-1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2656.4733082094208</v>
      </c>
      <c r="K8">
        <f t="shared" ref="K8:Q8" si="7">J14+J15</f>
        <v>5443.6350212876559</v>
      </c>
      <c r="L8">
        <f t="shared" si="7"/>
        <v>10106.34291324014</v>
      </c>
      <c r="M8">
        <f t="shared" si="7"/>
        <v>21618.693405934435</v>
      </c>
      <c r="N8">
        <f t="shared" si="7"/>
        <v>29825.308604340167</v>
      </c>
      <c r="O8">
        <f t="shared" si="7"/>
        <v>-1097.0707791051668</v>
      </c>
      <c r="P8">
        <f t="shared" si="7"/>
        <v>-3914.714650132606</v>
      </c>
      <c r="Q8">
        <f t="shared" si="7"/>
        <v>-970.01506534998771</v>
      </c>
      <c r="R8">
        <f t="shared" si="2"/>
        <v>-15.156485396093558</v>
      </c>
    </row>
    <row r="9" spans="1:18" x14ac:dyDescent="0.25">
      <c r="A9">
        <v>8</v>
      </c>
      <c r="B9" t="s">
        <v>31</v>
      </c>
      <c r="C9">
        <v>1</v>
      </c>
      <c r="D9">
        <v>1</v>
      </c>
      <c r="E9">
        <v>1</v>
      </c>
      <c r="F9">
        <v>-1</v>
      </c>
      <c r="G9">
        <v>-1</v>
      </c>
      <c r="H9">
        <v>-1</v>
      </c>
      <c r="I9">
        <v>-1</v>
      </c>
      <c r="J9">
        <v>2285.2291470827749</v>
      </c>
      <c r="K9">
        <f t="shared" ref="K9:Q9" si="8">J16+J17</f>
        <v>4319.0330707809271</v>
      </c>
      <c r="L9">
        <f t="shared" si="8"/>
        <v>9944.3890720732652</v>
      </c>
      <c r="M9">
        <f t="shared" si="8"/>
        <v>19529.540181483902</v>
      </c>
      <c r="N9">
        <f t="shared" si="8"/>
        <v>30488.400660867766</v>
      </c>
      <c r="O9">
        <f t="shared" si="8"/>
        <v>-1532.9920545646387</v>
      </c>
      <c r="P9">
        <f t="shared" si="8"/>
        <v>-1398.0786258554585</v>
      </c>
      <c r="Q9">
        <f t="shared" si="8"/>
        <v>-1404.5532901702593</v>
      </c>
      <c r="R9">
        <f t="shared" si="2"/>
        <v>-21.946145158910301</v>
      </c>
    </row>
    <row r="10" spans="1:18" x14ac:dyDescent="0.25">
      <c r="A10">
        <v>9</v>
      </c>
      <c r="B10" t="s">
        <v>32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2787.0769433848441</v>
      </c>
      <c r="K10">
        <f t="shared" ref="K10:Q10" si="9">J18+J19</f>
        <v>5912.714631053962</v>
      </c>
      <c r="L10">
        <f t="shared" si="9"/>
        <v>10655.742847008314</v>
      </c>
      <c r="M10">
        <f t="shared" si="9"/>
        <v>16212.778542642489</v>
      </c>
      <c r="N10">
        <f t="shared" si="9"/>
        <v>-2059.0558420277916</v>
      </c>
      <c r="O10">
        <f t="shared" si="9"/>
        <v>-7365.8788670534595</v>
      </c>
      <c r="P10">
        <f t="shared" si="9"/>
        <v>-781.75567460284037</v>
      </c>
      <c r="Q10">
        <f t="shared" si="9"/>
        <v>-15865.741850994358</v>
      </c>
      <c r="R10">
        <f t="shared" si="2"/>
        <v>-247.90221642178685</v>
      </c>
    </row>
    <row r="11" spans="1:18" x14ac:dyDescent="0.25">
      <c r="A11">
        <v>10</v>
      </c>
      <c r="B11" t="s">
        <v>33</v>
      </c>
      <c r="C11">
        <v>1</v>
      </c>
      <c r="D11">
        <v>-1</v>
      </c>
      <c r="E11">
        <v>-1</v>
      </c>
      <c r="F11">
        <v>1</v>
      </c>
      <c r="G11">
        <v>-1</v>
      </c>
      <c r="H11">
        <v>-1</v>
      </c>
      <c r="I11">
        <v>-1</v>
      </c>
      <c r="J11">
        <v>2601.503229380543</v>
      </c>
      <c r="K11">
        <f t="shared" ref="K11:Q11" si="10">J20+J21</f>
        <v>5138.3783927635213</v>
      </c>
      <c r="L11">
        <f t="shared" si="10"/>
        <v>10575.949577975949</v>
      </c>
      <c r="M11">
        <f t="shared" si="10"/>
        <v>14442.162298871326</v>
      </c>
      <c r="N11">
        <f t="shared" si="10"/>
        <v>-1641.6058033833481</v>
      </c>
      <c r="O11">
        <f t="shared" si="10"/>
        <v>-8541.9529771902526</v>
      </c>
      <c r="P11">
        <f t="shared" si="10"/>
        <v>565.62653002191291</v>
      </c>
      <c r="Q11">
        <f t="shared" si="10"/>
        <v>-2100.3883938030876</v>
      </c>
      <c r="R11">
        <f t="shared" si="2"/>
        <v>-32.818568653173244</v>
      </c>
    </row>
    <row r="12" spans="1:18" x14ac:dyDescent="0.25">
      <c r="A12">
        <v>11</v>
      </c>
      <c r="B12" t="s">
        <v>34</v>
      </c>
      <c r="C12">
        <v>-1</v>
      </c>
      <c r="D12">
        <v>1</v>
      </c>
      <c r="E12">
        <v>-1</v>
      </c>
      <c r="F12">
        <v>1</v>
      </c>
      <c r="G12">
        <v>-1</v>
      </c>
      <c r="H12">
        <v>-1</v>
      </c>
      <c r="I12">
        <v>-1</v>
      </c>
      <c r="J12">
        <v>2364.942942023386</v>
      </c>
      <c r="K12">
        <f t="shared" ref="K12:Q12" si="11">J22+J23</f>
        <v>5873.7624970044944</v>
      </c>
      <c r="L12">
        <f t="shared" si="11"/>
        <v>9433.6709483484701</v>
      </c>
      <c r="M12">
        <f t="shared" si="11"/>
        <v>16400.893816832868</v>
      </c>
      <c r="N12">
        <f t="shared" si="11"/>
        <v>-2497.4607114802538</v>
      </c>
      <c r="O12">
        <f t="shared" si="11"/>
        <v>-3009.1160858787862</v>
      </c>
      <c r="P12">
        <f t="shared" si="11"/>
        <v>-1296.8307648445405</v>
      </c>
      <c r="Q12">
        <f t="shared" si="11"/>
        <v>-4082.8276852275658</v>
      </c>
      <c r="R12">
        <f t="shared" si="2"/>
        <v>-63.794182581680715</v>
      </c>
    </row>
    <row r="13" spans="1:18" x14ac:dyDescent="0.25">
      <c r="A13">
        <v>12</v>
      </c>
      <c r="B13" t="s">
        <v>35</v>
      </c>
      <c r="C13">
        <v>1</v>
      </c>
      <c r="D13">
        <v>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2018.895371245768</v>
      </c>
      <c r="K13">
        <f t="shared" ref="K13:Q13" si="12">J24+J25</f>
        <v>5016.431017610762</v>
      </c>
      <c r="L13">
        <f t="shared" si="12"/>
        <v>9464.7022374157168</v>
      </c>
      <c r="M13">
        <f t="shared" si="12"/>
        <v>14794.841311325214</v>
      </c>
      <c r="N13">
        <f t="shared" si="12"/>
        <v>-1951.2022505463835</v>
      </c>
      <c r="O13">
        <f t="shared" si="12"/>
        <v>-4242.1066275877429</v>
      </c>
      <c r="P13">
        <f t="shared" si="12"/>
        <v>15.272816892255832</v>
      </c>
      <c r="Q13">
        <f t="shared" si="12"/>
        <v>-1555.7415133146094</v>
      </c>
      <c r="R13">
        <f t="shared" si="2"/>
        <v>-24.308461145540772</v>
      </c>
    </row>
    <row r="14" spans="1:18" x14ac:dyDescent="0.25">
      <c r="A14">
        <v>13</v>
      </c>
      <c r="B14" t="s">
        <v>36</v>
      </c>
      <c r="C14">
        <v>-1</v>
      </c>
      <c r="D14">
        <v>-1</v>
      </c>
      <c r="E14">
        <v>1</v>
      </c>
      <c r="F14">
        <v>1</v>
      </c>
      <c r="G14">
        <v>-1</v>
      </c>
      <c r="H14">
        <v>-1</v>
      </c>
      <c r="I14">
        <v>-1</v>
      </c>
      <c r="J14">
        <v>2800.8853464023309</v>
      </c>
      <c r="K14">
        <f t="shared" ref="K14:Q14" si="13">J26+J27</f>
        <v>5507.6134509372769</v>
      </c>
      <c r="L14">
        <f t="shared" si="13"/>
        <v>10895.786147730181</v>
      </c>
      <c r="M14">
        <f t="shared" si="13"/>
        <v>15982.947219992253</v>
      </c>
      <c r="N14">
        <f t="shared" si="13"/>
        <v>-671.33991769527074</v>
      </c>
      <c r="O14">
        <f t="shared" si="13"/>
        <v>-1790.9157196405693</v>
      </c>
      <c r="P14">
        <f t="shared" si="13"/>
        <v>-993.18557944559143</v>
      </c>
      <c r="Q14">
        <f t="shared" si="13"/>
        <v>420.245333993038</v>
      </c>
      <c r="R14">
        <f t="shared" si="2"/>
        <v>6.5663333436412188</v>
      </c>
    </row>
    <row r="15" spans="1:18" x14ac:dyDescent="0.25">
      <c r="A15">
        <v>14</v>
      </c>
      <c r="B15" t="s">
        <v>37</v>
      </c>
      <c r="C15">
        <v>1</v>
      </c>
      <c r="D15">
        <v>-1</v>
      </c>
      <c r="E15">
        <v>1</v>
      </c>
      <c r="F15">
        <v>1</v>
      </c>
      <c r="G15">
        <v>-1</v>
      </c>
      <c r="H15">
        <v>-1</v>
      </c>
      <c r="I15">
        <v>-1</v>
      </c>
      <c r="J15">
        <v>2642.749674885325</v>
      </c>
      <c r="K15">
        <f t="shared" ref="K15:Q15" si="14">J28+J29</f>
        <v>4598.729462302862</v>
      </c>
      <c r="L15">
        <f t="shared" si="14"/>
        <v>10722.907258204255</v>
      </c>
      <c r="M15">
        <f t="shared" si="14"/>
        <v>13842.361384347914</v>
      </c>
      <c r="N15">
        <f t="shared" si="14"/>
        <v>-425.73086140989608</v>
      </c>
      <c r="O15">
        <f t="shared" si="14"/>
        <v>-2123.798930492037</v>
      </c>
      <c r="P15">
        <f t="shared" si="14"/>
        <v>23.170514095603721</v>
      </c>
      <c r="Q15">
        <f t="shared" si="14"/>
        <v>-90.866759420974404</v>
      </c>
      <c r="R15">
        <f t="shared" si="2"/>
        <v>-1.4197931159527251</v>
      </c>
    </row>
    <row r="16" spans="1:18" x14ac:dyDescent="0.25">
      <c r="A16">
        <v>15</v>
      </c>
      <c r="B16" t="s">
        <v>38</v>
      </c>
      <c r="C16">
        <v>-1</v>
      </c>
      <c r="D16">
        <v>1</v>
      </c>
      <c r="E16">
        <v>1</v>
      </c>
      <c r="F16">
        <v>1</v>
      </c>
      <c r="G16">
        <v>-1</v>
      </c>
      <c r="H16">
        <v>-1</v>
      </c>
      <c r="I16">
        <v>-1</v>
      </c>
      <c r="J16">
        <v>2409.7151759998169</v>
      </c>
      <c r="K16">
        <f t="shared" ref="K16:Q16" si="15">J30+J31</f>
        <v>5482.3331399464168</v>
      </c>
      <c r="L16">
        <f t="shared" si="15"/>
        <v>9831.3992269203263</v>
      </c>
      <c r="M16">
        <f t="shared" si="15"/>
        <v>16200.178754575398</v>
      </c>
      <c r="N16">
        <f t="shared" si="15"/>
        <v>-894.49231122799711</v>
      </c>
      <c r="O16">
        <f t="shared" si="15"/>
        <v>-595.27435235616895</v>
      </c>
      <c r="P16">
        <f t="shared" si="15"/>
        <v>-1092.3133330173202</v>
      </c>
      <c r="Q16">
        <f t="shared" si="15"/>
        <v>54.483586039703368</v>
      </c>
      <c r="R16">
        <f t="shared" si="2"/>
        <v>0.85130603187036513</v>
      </c>
    </row>
    <row r="17" spans="1:18" x14ac:dyDescent="0.25">
      <c r="A17">
        <v>16</v>
      </c>
      <c r="B17" t="s">
        <v>39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1909.31789478111</v>
      </c>
      <c r="K17">
        <f t="shared" ref="K17:Q17" si="16">J32+J33</f>
        <v>4462.0559321268483</v>
      </c>
      <c r="L17">
        <f t="shared" si="16"/>
        <v>9698.1409545635761</v>
      </c>
      <c r="M17">
        <f t="shared" si="16"/>
        <v>14288.221906292369</v>
      </c>
      <c r="N17">
        <f t="shared" si="16"/>
        <v>-638.49974333664159</v>
      </c>
      <c r="O17">
        <f t="shared" si="16"/>
        <v>-802.80427349928959</v>
      </c>
      <c r="P17">
        <f t="shared" si="16"/>
        <v>-312.23995715293904</v>
      </c>
      <c r="Q17">
        <f t="shared" si="16"/>
        <v>-297.21682364480898</v>
      </c>
      <c r="R17">
        <f t="shared" si="2"/>
        <v>-4.6440128694501404</v>
      </c>
    </row>
    <row r="18" spans="1:18" x14ac:dyDescent="0.25">
      <c r="A18">
        <v>17</v>
      </c>
      <c r="B18" t="s">
        <v>40</v>
      </c>
      <c r="C18">
        <v>-1</v>
      </c>
      <c r="D18">
        <v>-1</v>
      </c>
      <c r="E18">
        <v>-1</v>
      </c>
      <c r="F18">
        <v>-1</v>
      </c>
      <c r="G18">
        <v>1</v>
      </c>
      <c r="H18">
        <v>-1</v>
      </c>
      <c r="I18">
        <v>-1</v>
      </c>
      <c r="J18">
        <v>2981.9191158690828</v>
      </c>
      <c r="K18">
        <f t="shared" ref="K18:Q18" si="17">J34+J35</f>
        <v>5743.8152317869353</v>
      </c>
      <c r="L18">
        <f t="shared" si="17"/>
        <v>8075.6334746308366</v>
      </c>
      <c r="M18">
        <f t="shared" si="17"/>
        <v>-868.90160451015981</v>
      </c>
      <c r="N18">
        <f t="shared" si="17"/>
        <v>-3805.049952915303</v>
      </c>
      <c r="O18">
        <f t="shared" si="17"/>
        <v>-426.85653275504592</v>
      </c>
      <c r="P18">
        <f t="shared" si="17"/>
        <v>-8436.5304177881735</v>
      </c>
      <c r="Q18">
        <f t="shared" si="17"/>
        <v>3020.3962863834095</v>
      </c>
      <c r="R18">
        <f t="shared" si="2"/>
        <v>47.193691974740773</v>
      </c>
    </row>
    <row r="19" spans="1:18" x14ac:dyDescent="0.25">
      <c r="A19">
        <v>18</v>
      </c>
      <c r="B19" t="s">
        <v>41</v>
      </c>
      <c r="C19">
        <v>1</v>
      </c>
      <c r="D19">
        <v>-1</v>
      </c>
      <c r="E19">
        <v>-1</v>
      </c>
      <c r="F19">
        <v>-1</v>
      </c>
      <c r="G19">
        <v>1</v>
      </c>
      <c r="H19">
        <v>-1</v>
      </c>
      <c r="I19">
        <v>-1</v>
      </c>
      <c r="J19">
        <v>2930.7955151848792</v>
      </c>
      <c r="K19">
        <f t="shared" ref="K19:Q19" si="18">J36+J37</f>
        <v>4911.9276152213779</v>
      </c>
      <c r="L19">
        <f t="shared" si="18"/>
        <v>8137.1450680116532</v>
      </c>
      <c r="M19">
        <f t="shared" si="18"/>
        <v>-1190.1542375176318</v>
      </c>
      <c r="N19">
        <f t="shared" si="18"/>
        <v>-3560.8289141381565</v>
      </c>
      <c r="O19">
        <f t="shared" si="18"/>
        <v>-354.89914184779445</v>
      </c>
      <c r="P19">
        <f t="shared" si="18"/>
        <v>-7429.2114332061847</v>
      </c>
      <c r="Q19">
        <f t="shared" si="18"/>
        <v>1465.3101237550441</v>
      </c>
      <c r="R19">
        <f t="shared" si="2"/>
        <v>22.895470683672563</v>
      </c>
    </row>
    <row r="20" spans="1:18" x14ac:dyDescent="0.25">
      <c r="A20">
        <v>19</v>
      </c>
      <c r="B20" t="s">
        <v>42</v>
      </c>
      <c r="C20">
        <v>-1</v>
      </c>
      <c r="D20">
        <v>1</v>
      </c>
      <c r="E20">
        <v>-1</v>
      </c>
      <c r="F20">
        <v>-1</v>
      </c>
      <c r="G20">
        <v>1</v>
      </c>
      <c r="H20">
        <v>-1</v>
      </c>
      <c r="I20">
        <v>-1</v>
      </c>
      <c r="J20">
        <v>2677.9013189281118</v>
      </c>
      <c r="K20">
        <f t="shared" ref="K20:Q20" si="19">J38+J39</f>
        <v>5782.8257273032968</v>
      </c>
      <c r="L20">
        <f t="shared" si="19"/>
        <v>7158.3826308880653</v>
      </c>
      <c r="M20">
        <f t="shared" si="19"/>
        <v>-715.24268222825049</v>
      </c>
      <c r="N20">
        <f t="shared" si="19"/>
        <v>-4368.5025747396521</v>
      </c>
      <c r="O20">
        <f t="shared" si="19"/>
        <v>240.4902074835245</v>
      </c>
      <c r="P20">
        <f t="shared" si="19"/>
        <v>-1211.0129405629143</v>
      </c>
      <c r="Q20">
        <f t="shared" si="19"/>
        <v>842.07027769839533</v>
      </c>
      <c r="R20">
        <f t="shared" si="2"/>
        <v>13.157348089037427</v>
      </c>
    </row>
    <row r="21" spans="1:18" x14ac:dyDescent="0.25">
      <c r="A21">
        <v>20</v>
      </c>
      <c r="B21" t="s">
        <v>43</v>
      </c>
      <c r="C21">
        <v>1</v>
      </c>
      <c r="D21">
        <v>1</v>
      </c>
      <c r="E21">
        <v>-1</v>
      </c>
      <c r="F21">
        <v>-1</v>
      </c>
      <c r="G21">
        <v>1</v>
      </c>
      <c r="H21">
        <v>-1</v>
      </c>
      <c r="I21">
        <v>-1</v>
      </c>
      <c r="J21">
        <v>2460.47707383541</v>
      </c>
      <c r="K21">
        <f t="shared" ref="K21:Q21" si="20">J40+J41</f>
        <v>4793.1238506726513</v>
      </c>
      <c r="L21">
        <f t="shared" si="20"/>
        <v>7283.7796679832609</v>
      </c>
      <c r="M21">
        <f t="shared" si="20"/>
        <v>-926.36312115509759</v>
      </c>
      <c r="N21">
        <f t="shared" si="20"/>
        <v>-4173.4504024506004</v>
      </c>
      <c r="O21">
        <f t="shared" si="20"/>
        <v>325.13632253838841</v>
      </c>
      <c r="P21">
        <f t="shared" si="20"/>
        <v>-889.37545324017356</v>
      </c>
      <c r="Q21">
        <f t="shared" si="20"/>
        <v>-448.19226715548143</v>
      </c>
      <c r="R21">
        <f t="shared" si="2"/>
        <v>-7.0030041743043974</v>
      </c>
    </row>
    <row r="22" spans="1:18" x14ac:dyDescent="0.25">
      <c r="A22">
        <v>21</v>
      </c>
      <c r="B22" t="s">
        <v>44</v>
      </c>
      <c r="C22">
        <v>-1</v>
      </c>
      <c r="D22">
        <v>-1</v>
      </c>
      <c r="E22">
        <v>1</v>
      </c>
      <c r="F22">
        <v>-1</v>
      </c>
      <c r="G22">
        <v>1</v>
      </c>
      <c r="H22">
        <v>-1</v>
      </c>
      <c r="I22">
        <v>-1</v>
      </c>
      <c r="J22">
        <v>2986.6083109959518</v>
      </c>
      <c r="K22">
        <f t="shared" ref="K22:Q22" si="21">J42+J43</f>
        <v>5310.6125140392123</v>
      </c>
      <c r="L22">
        <f t="shared" si="21"/>
        <v>8193.4245834716239</v>
      </c>
      <c r="M22">
        <f t="shared" si="21"/>
        <v>-1058.4589461428641</v>
      </c>
      <c r="N22">
        <f t="shared" si="21"/>
        <v>-1612.239774198516</v>
      </c>
      <c r="O22">
        <f t="shared" si="21"/>
        <v>-640.07475311987787</v>
      </c>
      <c r="P22">
        <f t="shared" si="21"/>
        <v>-2029.8432366010566</v>
      </c>
      <c r="Q22">
        <f t="shared" si="21"/>
        <v>-765.89391985593284</v>
      </c>
      <c r="R22">
        <f t="shared" si="2"/>
        <v>-11.967092497748951</v>
      </c>
    </row>
    <row r="23" spans="1:18" x14ac:dyDescent="0.25">
      <c r="A23">
        <v>22</v>
      </c>
      <c r="B23" t="s">
        <v>45</v>
      </c>
      <c r="C23">
        <v>1</v>
      </c>
      <c r="D23">
        <v>-1</v>
      </c>
      <c r="E23">
        <v>1</v>
      </c>
      <c r="F23">
        <v>-1</v>
      </c>
      <c r="G23">
        <v>1</v>
      </c>
      <c r="H23">
        <v>-1</v>
      </c>
      <c r="I23">
        <v>-1</v>
      </c>
      <c r="J23">
        <v>2887.1541860085431</v>
      </c>
      <c r="K23">
        <f t="shared" ref="K23:Q23" si="22">J44+J45</f>
        <v>4123.0584343092569</v>
      </c>
      <c r="L23">
        <f t="shared" si="22"/>
        <v>8207.469233361242</v>
      </c>
      <c r="M23">
        <f t="shared" si="22"/>
        <v>-1439.0017653373895</v>
      </c>
      <c r="N23">
        <f t="shared" si="22"/>
        <v>-1396.8763116802702</v>
      </c>
      <c r="O23">
        <f t="shared" si="22"/>
        <v>-656.75601172466259</v>
      </c>
      <c r="P23">
        <f t="shared" si="22"/>
        <v>-2052.9844486265092</v>
      </c>
      <c r="Q23">
        <f t="shared" si="22"/>
        <v>-415.412472517168</v>
      </c>
      <c r="R23">
        <f t="shared" si="2"/>
        <v>-6.49081988308075</v>
      </c>
    </row>
    <row r="24" spans="1:18" x14ac:dyDescent="0.25">
      <c r="A24">
        <v>23</v>
      </c>
      <c r="B24" t="s">
        <v>46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-1</v>
      </c>
      <c r="J24">
        <v>2681.8358645373492</v>
      </c>
      <c r="K24">
        <f t="shared" ref="K24:Q24" si="23">J46+J47</f>
        <v>5412.0306196146048</v>
      </c>
      <c r="L24">
        <f t="shared" si="23"/>
        <v>7377.6521921036592</v>
      </c>
      <c r="M24">
        <f t="shared" si="23"/>
        <v>-826.5526005561569</v>
      </c>
      <c r="N24">
        <f t="shared" si="23"/>
        <v>-2214.7701158508471</v>
      </c>
      <c r="O24">
        <f t="shared" si="23"/>
        <v>14.625565311456739</v>
      </c>
      <c r="P24">
        <f t="shared" si="23"/>
        <v>-814.46032662170387</v>
      </c>
      <c r="Q24">
        <f t="shared" si="23"/>
        <v>206.60973481646215</v>
      </c>
      <c r="R24">
        <f t="shared" si="2"/>
        <v>3.2282771065072211</v>
      </c>
    </row>
    <row r="25" spans="1:18" x14ac:dyDescent="0.25">
      <c r="A25">
        <v>24</v>
      </c>
      <c r="B25" t="s">
        <v>47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2334.5951530734128</v>
      </c>
      <c r="K25">
        <f t="shared" ref="K25:Q25" si="24">J48+J49</f>
        <v>4052.6716178011111</v>
      </c>
      <c r="L25">
        <f t="shared" si="24"/>
        <v>7417.1891192215535</v>
      </c>
      <c r="M25">
        <f t="shared" si="24"/>
        <v>-1124.6496499902266</v>
      </c>
      <c r="N25">
        <f t="shared" si="24"/>
        <v>-2027.3365117368958</v>
      </c>
      <c r="O25">
        <f t="shared" si="24"/>
        <v>0.64725158079909306</v>
      </c>
      <c r="P25">
        <f t="shared" si="24"/>
        <v>-741.28118669290552</v>
      </c>
      <c r="Q25">
        <f t="shared" si="24"/>
        <v>396.60360577316374</v>
      </c>
      <c r="R25">
        <f t="shared" si="2"/>
        <v>6.1969313402056834</v>
      </c>
    </row>
    <row r="26" spans="1:18" x14ac:dyDescent="0.25">
      <c r="A26">
        <v>25</v>
      </c>
      <c r="B26" t="s">
        <v>48</v>
      </c>
      <c r="C26">
        <v>-1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2794.9897995553879</v>
      </c>
      <c r="K26">
        <f t="shared" ref="K26:Q26" si="25">J50+J51</f>
        <v>5871.4192453952301</v>
      </c>
      <c r="L26">
        <f t="shared" si="25"/>
        <v>7950.5525750588167</v>
      </c>
      <c r="M26">
        <f t="shared" si="25"/>
        <v>-239.97598707830684</v>
      </c>
      <c r="N26">
        <f t="shared" si="25"/>
        <v>-862.93467425178142</v>
      </c>
      <c r="O26">
        <f t="shared" si="25"/>
        <v>-436.06977789918346</v>
      </c>
      <c r="P26">
        <f t="shared" si="25"/>
        <v>233.89323775816774</v>
      </c>
      <c r="Q26">
        <f t="shared" si="25"/>
        <v>870.30758827325008</v>
      </c>
      <c r="R26">
        <f t="shared" si="2"/>
        <v>13.598556066769532</v>
      </c>
    </row>
    <row r="27" spans="1:18" x14ac:dyDescent="0.25">
      <c r="A27">
        <v>26</v>
      </c>
      <c r="B27" t="s">
        <v>49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2712.623651381889</v>
      </c>
      <c r="K27">
        <f t="shared" ref="K27:Q27" si="26">J52+J53</f>
        <v>5024.3669023349503</v>
      </c>
      <c r="L27">
        <f t="shared" si="26"/>
        <v>8032.3946449334353</v>
      </c>
      <c r="M27">
        <f t="shared" si="26"/>
        <v>-431.3639306169639</v>
      </c>
      <c r="N27">
        <f t="shared" si="26"/>
        <v>-927.98104538878783</v>
      </c>
      <c r="O27">
        <f t="shared" si="26"/>
        <v>-557.11580154640797</v>
      </c>
      <c r="P27">
        <f t="shared" si="26"/>
        <v>186.35209623487026</v>
      </c>
      <c r="Q27">
        <f t="shared" si="26"/>
        <v>272.37733462459914</v>
      </c>
      <c r="R27">
        <f t="shared" si="2"/>
        <v>4.2558958535093616</v>
      </c>
    </row>
    <row r="28" spans="1:18" x14ac:dyDescent="0.25">
      <c r="A28">
        <v>27</v>
      </c>
      <c r="B28" t="s">
        <v>50</v>
      </c>
      <c r="C28">
        <v>-1</v>
      </c>
      <c r="D28">
        <v>1</v>
      </c>
      <c r="E28">
        <v>-1</v>
      </c>
      <c r="F28">
        <v>1</v>
      </c>
      <c r="G28">
        <v>1</v>
      </c>
      <c r="H28">
        <v>-1</v>
      </c>
      <c r="I28">
        <v>-1</v>
      </c>
      <c r="J28">
        <v>2438.9617423332988</v>
      </c>
      <c r="K28">
        <f t="shared" ref="K28:Q28" si="27">J54+J55</f>
        <v>5842.942932586293</v>
      </c>
      <c r="L28">
        <f t="shared" si="27"/>
        <v>6841.7322673549897</v>
      </c>
      <c r="M28">
        <f t="shared" si="27"/>
        <v>-139.94986157485619</v>
      </c>
      <c r="N28">
        <f t="shared" si="27"/>
        <v>-981.37737799571801</v>
      </c>
      <c r="O28">
        <f t="shared" si="27"/>
        <v>17.391672824120178</v>
      </c>
      <c r="P28">
        <f t="shared" si="27"/>
        <v>-26.035551296426775</v>
      </c>
      <c r="Q28">
        <f t="shared" si="27"/>
        <v>611.73799538525873</v>
      </c>
      <c r="R28">
        <f t="shared" si="2"/>
        <v>9.5584061778946676</v>
      </c>
    </row>
    <row r="29" spans="1:18" x14ac:dyDescent="0.25">
      <c r="A29">
        <v>28</v>
      </c>
      <c r="B29" t="s">
        <v>51</v>
      </c>
      <c r="C29">
        <v>1</v>
      </c>
      <c r="D29">
        <v>1</v>
      </c>
      <c r="E29">
        <v>-1</v>
      </c>
      <c r="F29">
        <v>1</v>
      </c>
      <c r="G29">
        <v>1</v>
      </c>
      <c r="H29">
        <v>-1</v>
      </c>
      <c r="I29">
        <v>-1</v>
      </c>
      <c r="J29">
        <v>2159.7677199695631</v>
      </c>
      <c r="K29">
        <f t="shared" ref="K29:Q29" si="28">J56+J57</f>
        <v>4879.9643256179625</v>
      </c>
      <c r="L29">
        <f t="shared" si="28"/>
        <v>7000.6291169929245</v>
      </c>
      <c r="M29">
        <f t="shared" si="28"/>
        <v>-285.78099983503989</v>
      </c>
      <c r="N29">
        <f t="shared" si="28"/>
        <v>-1142.421552496319</v>
      </c>
      <c r="O29">
        <f t="shared" si="28"/>
        <v>5.7788412714835431</v>
      </c>
      <c r="P29">
        <f t="shared" si="28"/>
        <v>-64.831208124547629</v>
      </c>
      <c r="Q29">
        <f t="shared" si="28"/>
        <v>67.882481566683737</v>
      </c>
      <c r="R29">
        <f t="shared" si="2"/>
        <v>1.0606637744794334</v>
      </c>
    </row>
    <row r="30" spans="1:18" x14ac:dyDescent="0.25">
      <c r="A30">
        <v>29</v>
      </c>
      <c r="B30" t="s">
        <v>52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2803.1008225492928</v>
      </c>
      <c r="K30">
        <f t="shared" ref="K30:Q30" si="29">J58+J59</f>
        <v>5478.661887693228</v>
      </c>
      <c r="L30">
        <f t="shared" si="29"/>
        <v>8083.9699254134648</v>
      </c>
      <c r="M30">
        <f t="shared" si="29"/>
        <v>-300.64642137740407</v>
      </c>
      <c r="N30">
        <f t="shared" si="29"/>
        <v>-272.03053474758508</v>
      </c>
      <c r="O30">
        <f t="shared" si="29"/>
        <v>-507.61427892834604</v>
      </c>
      <c r="P30">
        <f t="shared" si="29"/>
        <v>-36.071596092246182</v>
      </c>
      <c r="Q30">
        <f t="shared" si="29"/>
        <v>-252.28901806963222</v>
      </c>
      <c r="R30">
        <f t="shared" si="2"/>
        <v>-3.9420159073380034</v>
      </c>
    </row>
    <row r="31" spans="1:18" x14ac:dyDescent="0.25">
      <c r="A31">
        <v>30</v>
      </c>
      <c r="B31" t="s">
        <v>53</v>
      </c>
      <c r="C31">
        <v>1</v>
      </c>
      <c r="D31">
        <v>-1</v>
      </c>
      <c r="E31">
        <v>1</v>
      </c>
      <c r="F31">
        <v>1</v>
      </c>
      <c r="G31">
        <v>1</v>
      </c>
      <c r="H31">
        <v>-1</v>
      </c>
      <c r="I31">
        <v>-1</v>
      </c>
      <c r="J31">
        <v>2679.232317397124</v>
      </c>
      <c r="K31">
        <f t="shared" ref="K31:Q31" si="30">J60+J61</f>
        <v>4352.7373392270983</v>
      </c>
      <c r="L31">
        <f t="shared" si="30"/>
        <v>8116.208829161933</v>
      </c>
      <c r="M31">
        <f t="shared" si="30"/>
        <v>-593.84588985059304</v>
      </c>
      <c r="N31">
        <f t="shared" si="30"/>
        <v>-323.24381760858387</v>
      </c>
      <c r="O31">
        <f t="shared" si="30"/>
        <v>-584.69905408897421</v>
      </c>
      <c r="P31">
        <f t="shared" si="30"/>
        <v>90.55518213194955</v>
      </c>
      <c r="Q31">
        <f t="shared" si="30"/>
        <v>-74.213260998191117</v>
      </c>
      <c r="R31">
        <f t="shared" si="2"/>
        <v>-1.1595822030967362</v>
      </c>
    </row>
    <row r="32" spans="1:18" x14ac:dyDescent="0.25">
      <c r="A32">
        <v>31</v>
      </c>
      <c r="B32" t="s">
        <v>54</v>
      </c>
      <c r="C32">
        <v>-1</v>
      </c>
      <c r="D32">
        <v>1</v>
      </c>
      <c r="E32">
        <v>1</v>
      </c>
      <c r="F32">
        <v>1</v>
      </c>
      <c r="G32">
        <v>1</v>
      </c>
      <c r="H32">
        <v>-1</v>
      </c>
      <c r="I32">
        <v>-1</v>
      </c>
      <c r="J32">
        <v>2451.4951887962711</v>
      </c>
      <c r="K32">
        <f t="shared" ref="K32:Q32" si="31">J62+J63</f>
        <v>5467.8179292597188</v>
      </c>
      <c r="L32">
        <f t="shared" si="31"/>
        <v>7118.0317035075004</v>
      </c>
      <c r="M32">
        <f t="shared" si="31"/>
        <v>-189.77142018424888</v>
      </c>
      <c r="N32">
        <f t="shared" si="31"/>
        <v>-315.95791742120718</v>
      </c>
      <c r="O32">
        <f t="shared" si="31"/>
        <v>-121.83099478228814</v>
      </c>
      <c r="P32">
        <f t="shared" si="31"/>
        <v>-189.9505281383606</v>
      </c>
      <c r="Q32">
        <f t="shared" si="31"/>
        <v>-43.123420264944798</v>
      </c>
      <c r="R32">
        <f t="shared" si="2"/>
        <v>-0.67380344163976247</v>
      </c>
    </row>
    <row r="33" spans="1:18" x14ac:dyDescent="0.25">
      <c r="A33">
        <v>32</v>
      </c>
      <c r="B33" t="s">
        <v>55</v>
      </c>
      <c r="C33">
        <v>1</v>
      </c>
      <c r="D33">
        <v>1</v>
      </c>
      <c r="E33">
        <v>1</v>
      </c>
      <c r="F33">
        <v>1</v>
      </c>
      <c r="G33">
        <v>1</v>
      </c>
      <c r="H33">
        <v>-1</v>
      </c>
      <c r="I33">
        <v>-1</v>
      </c>
      <c r="J33">
        <v>2010.560743330577</v>
      </c>
      <c r="K33">
        <f t="shared" ref="K33:Q33" si="32">J64+J65</f>
        <v>4230.3230253038582</v>
      </c>
      <c r="L33">
        <f t="shared" si="32"/>
        <v>7170.1902027848673</v>
      </c>
      <c r="M33">
        <f t="shared" si="32"/>
        <v>-448.7283231523927</v>
      </c>
      <c r="N33">
        <f t="shared" si="32"/>
        <v>-486.84635607808241</v>
      </c>
      <c r="O33">
        <f t="shared" si="32"/>
        <v>-190.4089623706509</v>
      </c>
      <c r="P33">
        <f t="shared" si="32"/>
        <v>-107.26629550644839</v>
      </c>
      <c r="Q33">
        <f t="shared" si="32"/>
        <v>101.12393631729287</v>
      </c>
      <c r="R33">
        <f t="shared" si="2"/>
        <v>1.5800615049577011</v>
      </c>
    </row>
    <row r="34" spans="1:18" x14ac:dyDescent="0.25">
      <c r="A34">
        <v>33</v>
      </c>
      <c r="B34" t="s">
        <v>56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1</v>
      </c>
      <c r="I34">
        <v>-1</v>
      </c>
      <c r="J34">
        <v>2964.026732138379</v>
      </c>
      <c r="K34">
        <f t="shared" ref="K34:Q34" si="33">J66+J67</f>
        <v>4182.6735634074557</v>
      </c>
      <c r="L34">
        <f t="shared" si="33"/>
        <v>-368.56414504957183</v>
      </c>
      <c r="M34">
        <f t="shared" si="33"/>
        <v>-1675.7061429123414</v>
      </c>
      <c r="N34">
        <f t="shared" si="33"/>
        <v>-104.00318238594446</v>
      </c>
      <c r="O34">
        <f t="shared" si="33"/>
        <v>-4014.0579541175648</v>
      </c>
      <c r="P34">
        <f t="shared" si="33"/>
        <v>1816.5099432115458</v>
      </c>
      <c r="Q34">
        <f t="shared" si="33"/>
        <v>-3444.3625872478005</v>
      </c>
      <c r="R34">
        <f t="shared" si="2"/>
        <v>-53.818165425746884</v>
      </c>
    </row>
    <row r="35" spans="1:18" x14ac:dyDescent="0.25">
      <c r="A35">
        <v>34</v>
      </c>
      <c r="B35" t="s">
        <v>57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I35">
        <v>-1</v>
      </c>
      <c r="J35">
        <v>2779.7884996485559</v>
      </c>
      <c r="K35">
        <f t="shared" ref="K35:Q35" si="34">J68+J69</f>
        <v>3892.9599112233809</v>
      </c>
      <c r="L35">
        <f t="shared" si="34"/>
        <v>-500.33745946058798</v>
      </c>
      <c r="M35">
        <f t="shared" si="34"/>
        <v>-2129.3438100029616</v>
      </c>
      <c r="N35">
        <f t="shared" si="34"/>
        <v>-322.85335036910146</v>
      </c>
      <c r="O35">
        <f t="shared" si="34"/>
        <v>-4422.4724636706087</v>
      </c>
      <c r="P35">
        <f t="shared" si="34"/>
        <v>1203.8863431718637</v>
      </c>
      <c r="Q35">
        <f t="shared" si="34"/>
        <v>-1183.9225920749695</v>
      </c>
      <c r="R35">
        <f t="shared" ref="R35:R66" si="35">Q35/64</f>
        <v>-18.498790501171399</v>
      </c>
    </row>
    <row r="36" spans="1:18" x14ac:dyDescent="0.25">
      <c r="A36">
        <v>35</v>
      </c>
      <c r="B36" t="s">
        <v>58</v>
      </c>
      <c r="C36">
        <v>-1</v>
      </c>
      <c r="D36">
        <v>1</v>
      </c>
      <c r="E36">
        <v>-1</v>
      </c>
      <c r="F36">
        <v>-1</v>
      </c>
      <c r="G36">
        <v>-1</v>
      </c>
      <c r="H36">
        <v>1</v>
      </c>
      <c r="I36">
        <v>-1</v>
      </c>
      <c r="J36">
        <v>2594.9489260348309</v>
      </c>
      <c r="K36">
        <f t="shared" ref="K36:Q36" si="36">J70+J71</f>
        <v>4221.3916234326252</v>
      </c>
      <c r="L36">
        <f t="shared" si="36"/>
        <v>-531.62128478191903</v>
      </c>
      <c r="M36">
        <f t="shared" si="36"/>
        <v>-1631.6677176841731</v>
      </c>
      <c r="N36">
        <f t="shared" si="36"/>
        <v>-48.761979965118371</v>
      </c>
      <c r="O36">
        <f t="shared" si="36"/>
        <v>-3376.6687492788169</v>
      </c>
      <c r="P36">
        <f t="shared" si="36"/>
        <v>963.70849957831388</v>
      </c>
      <c r="Q36">
        <f t="shared" si="36"/>
        <v>-2409.0646518457497</v>
      </c>
      <c r="R36">
        <f t="shared" si="35"/>
        <v>-37.641635185089839</v>
      </c>
    </row>
    <row r="37" spans="1:18" x14ac:dyDescent="0.25">
      <c r="A37">
        <v>36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-1</v>
      </c>
      <c r="J37">
        <v>2316.9786891865469</v>
      </c>
      <c r="K37">
        <f t="shared" ref="K37:Q37" si="37">J72+J73</f>
        <v>3915.7534445790279</v>
      </c>
      <c r="L37">
        <f t="shared" si="37"/>
        <v>-658.5329527357128</v>
      </c>
      <c r="M37">
        <f t="shared" si="37"/>
        <v>-1929.1611964539834</v>
      </c>
      <c r="N37">
        <f t="shared" si="37"/>
        <v>-306.13716188267608</v>
      </c>
      <c r="O37">
        <f t="shared" si="37"/>
        <v>-4052.5426839273678</v>
      </c>
      <c r="P37">
        <f t="shared" si="37"/>
        <v>501.60162417673018</v>
      </c>
      <c r="Q37">
        <f t="shared" si="37"/>
        <v>-540.41313199458841</v>
      </c>
      <c r="R37">
        <f t="shared" si="35"/>
        <v>-8.4439551874154439</v>
      </c>
    </row>
    <row r="38" spans="1:18" x14ac:dyDescent="0.25">
      <c r="A38">
        <v>37</v>
      </c>
      <c r="B38" t="s">
        <v>60</v>
      </c>
      <c r="C38">
        <v>-1</v>
      </c>
      <c r="D38">
        <v>-1</v>
      </c>
      <c r="E38">
        <v>1</v>
      </c>
      <c r="F38">
        <v>-1</v>
      </c>
      <c r="G38">
        <v>-1</v>
      </c>
      <c r="H38">
        <v>1</v>
      </c>
      <c r="I38">
        <v>-1</v>
      </c>
      <c r="J38">
        <v>2979.817525442958</v>
      </c>
      <c r="K38">
        <f t="shared" ref="K38:Q38" si="38">J74+J75</f>
        <v>3836.4042532957383</v>
      </c>
      <c r="L38">
        <f t="shared" si="38"/>
        <v>-268.54784577690543</v>
      </c>
      <c r="M38">
        <f t="shared" si="38"/>
        <v>-1821.589493196203</v>
      </c>
      <c r="N38">
        <f t="shared" si="38"/>
        <v>186.90863047601215</v>
      </c>
      <c r="O38">
        <f t="shared" si="38"/>
        <v>-532.37307193431911</v>
      </c>
      <c r="P38">
        <f t="shared" si="38"/>
        <v>439.2732110661982</v>
      </c>
      <c r="Q38">
        <f t="shared" si="38"/>
        <v>156.60350596211538</v>
      </c>
      <c r="R38">
        <f t="shared" si="35"/>
        <v>2.4469297806580528</v>
      </c>
    </row>
    <row r="39" spans="1:18" x14ac:dyDescent="0.25">
      <c r="A39">
        <v>38</v>
      </c>
      <c r="B39" t="s">
        <v>61</v>
      </c>
      <c r="C39">
        <v>1</v>
      </c>
      <c r="D39">
        <v>-1</v>
      </c>
      <c r="E39">
        <v>1</v>
      </c>
      <c r="F39">
        <v>-1</v>
      </c>
      <c r="G39">
        <v>-1</v>
      </c>
      <c r="H39">
        <v>1</v>
      </c>
      <c r="I39">
        <v>-1</v>
      </c>
      <c r="J39">
        <v>2803.0082018603389</v>
      </c>
      <c r="K39">
        <f t="shared" ref="K39:Q39" si="39">J76+J77</f>
        <v>3321.978377592327</v>
      </c>
      <c r="L39">
        <f t="shared" si="39"/>
        <v>-446.69483645134505</v>
      </c>
      <c r="M39">
        <f t="shared" si="39"/>
        <v>-2546.9130815434492</v>
      </c>
      <c r="N39">
        <f t="shared" si="39"/>
        <v>53.581577007512351</v>
      </c>
      <c r="O39">
        <f t="shared" si="39"/>
        <v>-678.6398686285952</v>
      </c>
      <c r="P39">
        <f t="shared" si="39"/>
        <v>402.79706663219713</v>
      </c>
      <c r="Q39">
        <f t="shared" si="39"/>
        <v>-30.659572335442363</v>
      </c>
      <c r="R39">
        <f t="shared" si="35"/>
        <v>-0.47905581774128692</v>
      </c>
    </row>
    <row r="40" spans="1:18" x14ac:dyDescent="0.25">
      <c r="A40">
        <v>39</v>
      </c>
      <c r="B40" t="s">
        <v>62</v>
      </c>
      <c r="C40">
        <v>-1</v>
      </c>
      <c r="D40">
        <v>1</v>
      </c>
      <c r="E40">
        <v>1</v>
      </c>
      <c r="F40">
        <v>-1</v>
      </c>
      <c r="G40">
        <v>-1</v>
      </c>
      <c r="H40">
        <v>1</v>
      </c>
      <c r="I40">
        <v>-1</v>
      </c>
      <c r="J40">
        <v>2606.2825019473948</v>
      </c>
      <c r="K40">
        <f t="shared" ref="K40:Q40" si="40">J78+J79</f>
        <v>3893.1208677203467</v>
      </c>
      <c r="L40">
        <f t="shared" si="40"/>
        <v>-361.56017053723463</v>
      </c>
      <c r="M40">
        <f t="shared" si="40"/>
        <v>-1810.0309500286103</v>
      </c>
      <c r="N40">
        <f t="shared" si="40"/>
        <v>240.73891951255337</v>
      </c>
      <c r="O40">
        <f t="shared" si="40"/>
        <v>-337.21908179884076</v>
      </c>
      <c r="P40">
        <f t="shared" si="40"/>
        <v>-226.09054563760742</v>
      </c>
      <c r="Q40">
        <f t="shared" si="40"/>
        <v>-132.65885519986114</v>
      </c>
      <c r="R40">
        <f t="shared" si="35"/>
        <v>-2.0727946124978303</v>
      </c>
    </row>
    <row r="41" spans="1:18" x14ac:dyDescent="0.25">
      <c r="A41">
        <v>40</v>
      </c>
      <c r="B41" t="s">
        <v>63</v>
      </c>
      <c r="C41">
        <v>1</v>
      </c>
      <c r="D41">
        <v>1</v>
      </c>
      <c r="E41">
        <v>1</v>
      </c>
      <c r="F41">
        <v>-1</v>
      </c>
      <c r="G41">
        <v>-1</v>
      </c>
      <c r="H41">
        <v>1</v>
      </c>
      <c r="I41">
        <v>-1</v>
      </c>
      <c r="J41">
        <v>2186.8413487252569</v>
      </c>
      <c r="K41">
        <f t="shared" ref="K41:Q41" si="41">J80+J81</f>
        <v>3390.6588002629142</v>
      </c>
      <c r="L41">
        <f t="shared" si="41"/>
        <v>-564.80295061786296</v>
      </c>
      <c r="M41">
        <f t="shared" si="41"/>
        <v>-2363.4194524219902</v>
      </c>
      <c r="N41">
        <f t="shared" si="41"/>
        <v>84.397403025835047</v>
      </c>
      <c r="O41">
        <f t="shared" si="41"/>
        <v>-552.15637144133279</v>
      </c>
      <c r="P41">
        <f t="shared" si="41"/>
        <v>-222.10172151787401</v>
      </c>
      <c r="Q41">
        <f t="shared" si="41"/>
        <v>-145.66274274899092</v>
      </c>
      <c r="R41">
        <f t="shared" si="35"/>
        <v>-2.2759803554529832</v>
      </c>
    </row>
    <row r="42" spans="1:18" x14ac:dyDescent="0.25">
      <c r="A42">
        <v>41</v>
      </c>
      <c r="B42" t="s">
        <v>64</v>
      </c>
      <c r="C42">
        <v>-1</v>
      </c>
      <c r="D42">
        <v>-1</v>
      </c>
      <c r="E42">
        <v>-1</v>
      </c>
      <c r="F42">
        <v>1</v>
      </c>
      <c r="G42">
        <v>-1</v>
      </c>
      <c r="H42">
        <v>1</v>
      </c>
      <c r="I42">
        <v>-1</v>
      </c>
      <c r="J42">
        <v>2765.6597496261588</v>
      </c>
      <c r="K42">
        <f t="shared" ref="K42:Q42" si="42">J82+J83</f>
        <v>4235.655894532003</v>
      </c>
      <c r="L42">
        <f t="shared" si="42"/>
        <v>-462.20846933810708</v>
      </c>
      <c r="M42">
        <f t="shared" si="42"/>
        <v>-595.35183103767213</v>
      </c>
      <c r="N42">
        <f t="shared" si="42"/>
        <v>-258.68498236480991</v>
      </c>
      <c r="O42">
        <f t="shared" si="42"/>
        <v>-751.13114586043048</v>
      </c>
      <c r="P42">
        <f t="shared" si="42"/>
        <v>-476.22534990071472</v>
      </c>
      <c r="Q42">
        <f t="shared" si="42"/>
        <v>-1084.2884442015948</v>
      </c>
      <c r="R42">
        <f t="shared" si="35"/>
        <v>-16.942006940649918</v>
      </c>
    </row>
    <row r="43" spans="1:18" x14ac:dyDescent="0.25">
      <c r="A43">
        <v>42</v>
      </c>
      <c r="B43" t="s">
        <v>65</v>
      </c>
      <c r="C43">
        <v>1</v>
      </c>
      <c r="D43">
        <v>-1</v>
      </c>
      <c r="E43">
        <v>-1</v>
      </c>
      <c r="F43">
        <v>1</v>
      </c>
      <c r="G43">
        <v>-1</v>
      </c>
      <c r="H43">
        <v>1</v>
      </c>
      <c r="I43">
        <v>-1</v>
      </c>
      <c r="J43">
        <v>2544.952764413054</v>
      </c>
      <c r="K43">
        <f t="shared" ref="K43:Q43" si="43">J84+J85</f>
        <v>3957.7686889396209</v>
      </c>
      <c r="L43">
        <f t="shared" si="43"/>
        <v>-596.250476804757</v>
      </c>
      <c r="M43">
        <f t="shared" si="43"/>
        <v>-1016.8879431608439</v>
      </c>
      <c r="N43">
        <f t="shared" si="43"/>
        <v>-381.38977075506796</v>
      </c>
      <c r="O43">
        <f t="shared" si="43"/>
        <v>-1278.7120907406261</v>
      </c>
      <c r="P43">
        <f t="shared" si="43"/>
        <v>-289.66856995521812</v>
      </c>
      <c r="Q43">
        <f t="shared" si="43"/>
        <v>-361.20408633676811</v>
      </c>
      <c r="R43">
        <f t="shared" si="35"/>
        <v>-5.6438138490120018</v>
      </c>
    </row>
    <row r="44" spans="1:18" x14ac:dyDescent="0.25">
      <c r="A44">
        <v>43</v>
      </c>
      <c r="B44" t="s">
        <v>66</v>
      </c>
      <c r="C44">
        <v>-1</v>
      </c>
      <c r="D44">
        <v>1</v>
      </c>
      <c r="E44">
        <v>-1</v>
      </c>
      <c r="F44">
        <v>1</v>
      </c>
      <c r="G44">
        <v>-1</v>
      </c>
      <c r="H44">
        <v>1</v>
      </c>
      <c r="I44">
        <v>-1</v>
      </c>
      <c r="J44">
        <v>2280.6769959831458</v>
      </c>
      <c r="K44">
        <f t="shared" ref="K44:Q44" si="44">J86+J87</f>
        <v>4241.2358460545802</v>
      </c>
      <c r="L44">
        <f t="shared" si="44"/>
        <v>-659.00254287013968</v>
      </c>
      <c r="M44">
        <f t="shared" si="44"/>
        <v>-552.88966434030044</v>
      </c>
      <c r="N44">
        <f t="shared" si="44"/>
        <v>-255.03868706376011</v>
      </c>
      <c r="O44">
        <f t="shared" si="44"/>
        <v>-712.63309512284104</v>
      </c>
      <c r="P44">
        <f t="shared" si="44"/>
        <v>-269.38342598740041</v>
      </c>
      <c r="Q44">
        <f t="shared" si="44"/>
        <v>-1155.2992032610227</v>
      </c>
      <c r="R44">
        <f t="shared" si="35"/>
        <v>-18.05155005095348</v>
      </c>
    </row>
    <row r="45" spans="1:18" x14ac:dyDescent="0.25">
      <c r="A45">
        <v>44</v>
      </c>
      <c r="B45" t="s">
        <v>67</v>
      </c>
      <c r="C45">
        <v>1</v>
      </c>
      <c r="D45">
        <v>1</v>
      </c>
      <c r="E45">
        <v>-1</v>
      </c>
      <c r="F45">
        <v>1</v>
      </c>
      <c r="G45">
        <v>-1</v>
      </c>
      <c r="H45">
        <v>1</v>
      </c>
      <c r="I45">
        <v>-1</v>
      </c>
      <c r="J45">
        <v>1842.381438326111</v>
      </c>
      <c r="K45">
        <f t="shared" ref="K45:Q45" si="45">J88+J89</f>
        <v>3966.2333873066618</v>
      </c>
      <c r="L45">
        <f t="shared" si="45"/>
        <v>-779.99922246724987</v>
      </c>
      <c r="M45">
        <f t="shared" si="45"/>
        <v>-843.98664733996975</v>
      </c>
      <c r="N45">
        <f t="shared" si="45"/>
        <v>-401.71732466090248</v>
      </c>
      <c r="O45">
        <f t="shared" si="45"/>
        <v>-1340.3513535036682</v>
      </c>
      <c r="P45">
        <f t="shared" si="45"/>
        <v>-146.02904652976758</v>
      </c>
      <c r="Q45">
        <f t="shared" si="45"/>
        <v>-505.38254544618144</v>
      </c>
      <c r="R45">
        <f t="shared" si="35"/>
        <v>-7.896602272596585</v>
      </c>
    </row>
    <row r="46" spans="1:18" x14ac:dyDescent="0.25">
      <c r="A46">
        <v>45</v>
      </c>
      <c r="B46" t="s">
        <v>68</v>
      </c>
      <c r="C46">
        <v>-1</v>
      </c>
      <c r="D46">
        <v>-1</v>
      </c>
      <c r="E46">
        <v>1</v>
      </c>
      <c r="F46">
        <v>1</v>
      </c>
      <c r="G46">
        <v>-1</v>
      </c>
      <c r="H46">
        <v>1</v>
      </c>
      <c r="I46">
        <v>-1</v>
      </c>
      <c r="J46">
        <v>2794.1588725356628</v>
      </c>
      <c r="K46">
        <f t="shared" ref="K46:Q46" si="46">J90+J91</f>
        <v>3904.4396689876221</v>
      </c>
      <c r="L46">
        <f t="shared" si="46"/>
        <v>-317.55865316710288</v>
      </c>
      <c r="M46">
        <f t="shared" si="46"/>
        <v>-733.99232155273648</v>
      </c>
      <c r="N46">
        <f t="shared" si="46"/>
        <v>47.347103258338848</v>
      </c>
      <c r="O46">
        <f t="shared" si="46"/>
        <v>-242.34284231699053</v>
      </c>
      <c r="P46">
        <f t="shared" si="46"/>
        <v>149.41542007313728</v>
      </c>
      <c r="Q46">
        <f t="shared" si="46"/>
        <v>74.593767128966647</v>
      </c>
      <c r="R46">
        <f t="shared" si="35"/>
        <v>1.1655276113901039</v>
      </c>
    </row>
    <row r="47" spans="1:18" x14ac:dyDescent="0.25">
      <c r="A47">
        <v>46</v>
      </c>
      <c r="B47" t="s">
        <v>69</v>
      </c>
      <c r="C47">
        <v>1</v>
      </c>
      <c r="D47">
        <v>-1</v>
      </c>
      <c r="E47">
        <v>1</v>
      </c>
      <c r="F47">
        <v>1</v>
      </c>
      <c r="G47">
        <v>-1</v>
      </c>
      <c r="H47">
        <v>1</v>
      </c>
      <c r="I47">
        <v>-1</v>
      </c>
      <c r="J47">
        <v>2617.871747078942</v>
      </c>
      <c r="K47">
        <f t="shared" ref="K47:Q47" si="47">J92+J93</f>
        <v>3473.2125231160371</v>
      </c>
      <c r="L47">
        <f t="shared" si="47"/>
        <v>-508.99394738905403</v>
      </c>
      <c r="M47">
        <f t="shared" si="47"/>
        <v>-1480.7777942981106</v>
      </c>
      <c r="N47">
        <f t="shared" si="47"/>
        <v>-32.721537946882108</v>
      </c>
      <c r="O47">
        <f t="shared" si="47"/>
        <v>-572.11748430471334</v>
      </c>
      <c r="P47">
        <f t="shared" si="47"/>
        <v>57.194314743324867</v>
      </c>
      <c r="Q47">
        <f t="shared" si="47"/>
        <v>-23.02300626998408</v>
      </c>
      <c r="R47">
        <f t="shared" si="35"/>
        <v>-0.35973447296850125</v>
      </c>
    </row>
    <row r="48" spans="1:18" x14ac:dyDescent="0.25">
      <c r="A48">
        <v>47</v>
      </c>
      <c r="B48" t="s">
        <v>70</v>
      </c>
      <c r="C48">
        <v>-1</v>
      </c>
      <c r="D48">
        <v>1</v>
      </c>
      <c r="E48">
        <v>1</v>
      </c>
      <c r="F48">
        <v>1</v>
      </c>
      <c r="G48">
        <v>-1</v>
      </c>
      <c r="H48">
        <v>1</v>
      </c>
      <c r="I48">
        <v>-1</v>
      </c>
      <c r="J48">
        <v>2328.19185740582</v>
      </c>
      <c r="K48">
        <f t="shared" ref="K48:Q48" si="48">J94+J95</f>
        <v>3914.9743103449691</v>
      </c>
      <c r="L48">
        <f t="shared" si="48"/>
        <v>-457.18380977563766</v>
      </c>
      <c r="M48">
        <f t="shared" si="48"/>
        <v>-716.88531548930087</v>
      </c>
      <c r="N48">
        <f t="shared" si="48"/>
        <v>33.30382845267286</v>
      </c>
      <c r="O48">
        <f t="shared" si="48"/>
        <v>-282.83664161722345</v>
      </c>
      <c r="P48">
        <f t="shared" si="48"/>
        <v>236.93965723860833</v>
      </c>
      <c r="Q48">
        <f t="shared" si="48"/>
        <v>20.414806075459637</v>
      </c>
      <c r="R48">
        <f t="shared" si="35"/>
        <v>0.31898134492905683</v>
      </c>
    </row>
    <row r="49" spans="1:18" x14ac:dyDescent="0.25">
      <c r="A49">
        <v>48</v>
      </c>
      <c r="B49" t="s">
        <v>71</v>
      </c>
      <c r="C49">
        <v>1</v>
      </c>
      <c r="D49">
        <v>1</v>
      </c>
      <c r="E49">
        <v>1</v>
      </c>
      <c r="F49">
        <v>1</v>
      </c>
      <c r="G49">
        <v>-1</v>
      </c>
      <c r="H49">
        <v>1</v>
      </c>
      <c r="I49">
        <v>-1</v>
      </c>
      <c r="J49">
        <v>1724.4797603952909</v>
      </c>
      <c r="K49">
        <f t="shared" ref="K49:Q49" si="49">J96+J97</f>
        <v>3502.2148088765844</v>
      </c>
      <c r="L49">
        <f t="shared" si="49"/>
        <v>-667.46584021458898</v>
      </c>
      <c r="M49">
        <f t="shared" si="49"/>
        <v>-1310.4511962475949</v>
      </c>
      <c r="N49">
        <f t="shared" si="49"/>
        <v>-32.656576871873767</v>
      </c>
      <c r="O49">
        <f t="shared" si="49"/>
        <v>-458.44454507568207</v>
      </c>
      <c r="P49">
        <f t="shared" si="49"/>
        <v>159.6639485345554</v>
      </c>
      <c r="Q49">
        <f t="shared" si="49"/>
        <v>-37.142819220043521</v>
      </c>
      <c r="R49">
        <f t="shared" si="35"/>
        <v>-0.58035655031318001</v>
      </c>
    </row>
    <row r="50" spans="1:18" x14ac:dyDescent="0.25">
      <c r="A50">
        <v>49</v>
      </c>
      <c r="B50" t="s">
        <v>72</v>
      </c>
      <c r="C50">
        <v>-1</v>
      </c>
      <c r="D50">
        <v>-1</v>
      </c>
      <c r="E50">
        <v>-1</v>
      </c>
      <c r="F50">
        <v>-1</v>
      </c>
      <c r="G50">
        <v>1</v>
      </c>
      <c r="H50">
        <v>1</v>
      </c>
      <c r="I50">
        <v>-1</v>
      </c>
      <c r="J50">
        <v>2972.2513145126491</v>
      </c>
      <c r="K50">
        <f t="shared" ref="K50:Q50" si="50">J98+J99</f>
        <v>4153.0248833468622</v>
      </c>
      <c r="L50">
        <f t="shared" si="50"/>
        <v>-132.19853949919388</v>
      </c>
      <c r="M50">
        <f t="shared" si="50"/>
        <v>-360.19920777676361</v>
      </c>
      <c r="N50">
        <f t="shared" si="50"/>
        <v>-241.68131761073801</v>
      </c>
      <c r="O50">
        <f t="shared" si="50"/>
        <v>83.448062489380391</v>
      </c>
      <c r="P50">
        <f t="shared" si="50"/>
        <v>477.11486264843188</v>
      </c>
      <c r="Q50">
        <f t="shared" si="50"/>
        <v>342.12378001154866</v>
      </c>
      <c r="R50">
        <f t="shared" si="35"/>
        <v>5.3456840626804478</v>
      </c>
    </row>
    <row r="51" spans="1:18" x14ac:dyDescent="0.25">
      <c r="A51">
        <v>50</v>
      </c>
      <c r="B51" t="s">
        <v>73</v>
      </c>
      <c r="C51">
        <v>1</v>
      </c>
      <c r="D51">
        <v>-1</v>
      </c>
      <c r="E51">
        <v>-1</v>
      </c>
      <c r="F51">
        <v>-1</v>
      </c>
      <c r="G51">
        <v>1</v>
      </c>
      <c r="H51">
        <v>1</v>
      </c>
      <c r="I51">
        <v>-1</v>
      </c>
      <c r="J51">
        <v>2899.167930882581</v>
      </c>
      <c r="K51">
        <f t="shared" ref="K51:Q51" si="51">J100+J101</f>
        <v>3797.527691711955</v>
      </c>
      <c r="L51">
        <f t="shared" si="51"/>
        <v>-107.77744757911296</v>
      </c>
      <c r="M51">
        <f t="shared" si="51"/>
        <v>-502.7354664750178</v>
      </c>
      <c r="N51">
        <f t="shared" si="51"/>
        <v>-194.38846028844546</v>
      </c>
      <c r="O51">
        <f t="shared" si="51"/>
        <v>150.44517526878735</v>
      </c>
      <c r="P51">
        <f t="shared" si="51"/>
        <v>393.19272562481819</v>
      </c>
      <c r="Q51">
        <f t="shared" si="51"/>
        <v>139.1919338954076</v>
      </c>
      <c r="R51">
        <f t="shared" si="35"/>
        <v>2.1748739671157438</v>
      </c>
    </row>
    <row r="52" spans="1:18" x14ac:dyDescent="0.25">
      <c r="A52">
        <v>51</v>
      </c>
      <c r="B52" t="s">
        <v>74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2634.4210859359928</v>
      </c>
      <c r="K52">
        <f t="shared" ref="K52:Q52" si="52">J102+J103</f>
        <v>4205.4448874256323</v>
      </c>
      <c r="L52">
        <f t="shared" si="52"/>
        <v>-227.14497097761091</v>
      </c>
      <c r="M52">
        <f t="shared" si="52"/>
        <v>-414.08723088502575</v>
      </c>
      <c r="N52">
        <f t="shared" si="52"/>
        <v>-329.61918214862635</v>
      </c>
      <c r="O52">
        <f t="shared" si="52"/>
        <v>89.377720942655287</v>
      </c>
      <c r="P52">
        <f t="shared" si="52"/>
        <v>192.57796384108065</v>
      </c>
      <c r="Q52">
        <f t="shared" si="52"/>
        <v>-77.098724892389328</v>
      </c>
      <c r="R52">
        <f t="shared" si="35"/>
        <v>-1.2046675764435832</v>
      </c>
    </row>
    <row r="53" spans="1:18" x14ac:dyDescent="0.25">
      <c r="A53">
        <v>52</v>
      </c>
      <c r="B53" t="s">
        <v>75</v>
      </c>
      <c r="C53">
        <v>1</v>
      </c>
      <c r="D53">
        <v>1</v>
      </c>
      <c r="E53">
        <v>-1</v>
      </c>
      <c r="F53">
        <v>-1</v>
      </c>
      <c r="G53">
        <v>1</v>
      </c>
      <c r="H53">
        <v>1</v>
      </c>
      <c r="I53">
        <v>-1</v>
      </c>
      <c r="J53">
        <v>2389.945816398958</v>
      </c>
      <c r="K53">
        <f t="shared" ref="K53:Q53" si="53">J104+J105</f>
        <v>3826.949757507803</v>
      </c>
      <c r="L53">
        <f t="shared" si="53"/>
        <v>-204.21895963935299</v>
      </c>
      <c r="M53">
        <f t="shared" si="53"/>
        <v>-513.89381450376209</v>
      </c>
      <c r="N53">
        <f t="shared" si="53"/>
        <v>-227.49661939778161</v>
      </c>
      <c r="O53">
        <f t="shared" si="53"/>
        <v>96.974375292214972</v>
      </c>
      <c r="P53">
        <f t="shared" si="53"/>
        <v>79.799370783518498</v>
      </c>
      <c r="Q53">
        <f t="shared" si="53"/>
        <v>-215.67295915947102</v>
      </c>
      <c r="R53">
        <f t="shared" si="35"/>
        <v>-3.3698899868667347</v>
      </c>
    </row>
    <row r="54" spans="1:18" x14ac:dyDescent="0.25">
      <c r="A54">
        <v>53</v>
      </c>
      <c r="B54" t="s">
        <v>76</v>
      </c>
      <c r="C54">
        <v>-1</v>
      </c>
      <c r="D54">
        <v>-1</v>
      </c>
      <c r="E54">
        <v>1</v>
      </c>
      <c r="F54">
        <v>-1</v>
      </c>
      <c r="G54">
        <v>1</v>
      </c>
      <c r="H54">
        <v>1</v>
      </c>
      <c r="I54">
        <v>-1</v>
      </c>
      <c r="J54">
        <v>2981.6987023432312</v>
      </c>
      <c r="K54">
        <f t="shared" ref="K54:Q54" si="54">J106+J107</f>
        <v>3793.5472713476738</v>
      </c>
      <c r="L54">
        <f t="shared" si="54"/>
        <v>-64.842709561884021</v>
      </c>
      <c r="M54">
        <f t="shared" si="54"/>
        <v>-336.36383399797978</v>
      </c>
      <c r="N54">
        <f t="shared" si="54"/>
        <v>-3.9607184235437671</v>
      </c>
      <c r="O54">
        <f t="shared" si="54"/>
        <v>-20.234142948966337</v>
      </c>
      <c r="P54">
        <f t="shared" si="54"/>
        <v>328.07927427467621</v>
      </c>
      <c r="Q54">
        <f t="shared" si="54"/>
        <v>-61.539476952619225</v>
      </c>
      <c r="R54">
        <f t="shared" si="35"/>
        <v>-0.96155432738467539</v>
      </c>
    </row>
    <row r="55" spans="1:18" x14ac:dyDescent="0.25">
      <c r="A55">
        <v>54</v>
      </c>
      <c r="B55" t="s">
        <v>77</v>
      </c>
      <c r="C55">
        <v>1</v>
      </c>
      <c r="D55">
        <v>-1</v>
      </c>
      <c r="E55">
        <v>1</v>
      </c>
      <c r="F55">
        <v>-1</v>
      </c>
      <c r="G55">
        <v>1</v>
      </c>
      <c r="H55">
        <v>1</v>
      </c>
      <c r="I55">
        <v>-1</v>
      </c>
      <c r="J55">
        <v>2861.2442302430618</v>
      </c>
      <c r="K55">
        <f t="shared" ref="K55:Q55" si="55">J108+J109</f>
        <v>3048.1849960073159</v>
      </c>
      <c r="L55">
        <f t="shared" si="55"/>
        <v>-75.107152012972165</v>
      </c>
      <c r="M55">
        <f t="shared" si="55"/>
        <v>-645.01354399773822</v>
      </c>
      <c r="N55">
        <f t="shared" si="55"/>
        <v>21.352391247663945</v>
      </c>
      <c r="O55">
        <f t="shared" si="55"/>
        <v>-5.8014083474604377</v>
      </c>
      <c r="P55">
        <f t="shared" si="55"/>
        <v>283.65872111058252</v>
      </c>
      <c r="Q55">
        <f t="shared" si="55"/>
        <v>-9.8656133262099956</v>
      </c>
      <c r="R55">
        <f t="shared" si="35"/>
        <v>-0.15415020822203118</v>
      </c>
    </row>
    <row r="56" spans="1:18" x14ac:dyDescent="0.25">
      <c r="A56">
        <v>55</v>
      </c>
      <c r="B56" t="s">
        <v>78</v>
      </c>
      <c r="C56">
        <v>-1</v>
      </c>
      <c r="D56">
        <v>1</v>
      </c>
      <c r="E56">
        <v>1</v>
      </c>
      <c r="F56">
        <v>-1</v>
      </c>
      <c r="G56">
        <v>1</v>
      </c>
      <c r="H56">
        <v>1</v>
      </c>
      <c r="I56">
        <v>-1</v>
      </c>
      <c r="J56">
        <v>2634.2519004534238</v>
      </c>
      <c r="K56">
        <f t="shared" ref="K56:Q56" si="56">J110+J111</f>
        <v>3868.0223179753389</v>
      </c>
      <c r="L56">
        <f t="shared" si="56"/>
        <v>-131.66195216962296</v>
      </c>
      <c r="M56">
        <f t="shared" si="56"/>
        <v>-439.47688909568205</v>
      </c>
      <c r="N56">
        <f t="shared" si="56"/>
        <v>-13.051181900316806</v>
      </c>
      <c r="O56">
        <f t="shared" si="56"/>
        <v>-13.687733626528825</v>
      </c>
      <c r="P56">
        <f t="shared" si="56"/>
        <v>87.911610774321389</v>
      </c>
      <c r="Q56">
        <f t="shared" si="56"/>
        <v>61.39780082946163</v>
      </c>
      <c r="R56">
        <f t="shared" si="35"/>
        <v>0.95934063796033797</v>
      </c>
    </row>
    <row r="57" spans="1:18" x14ac:dyDescent="0.25">
      <c r="A57">
        <v>56</v>
      </c>
      <c r="B57" t="s">
        <v>79</v>
      </c>
      <c r="C57">
        <v>1</v>
      </c>
      <c r="D57">
        <v>1</v>
      </c>
      <c r="E57">
        <v>1</v>
      </c>
      <c r="F57">
        <v>-1</v>
      </c>
      <c r="G57">
        <v>1</v>
      </c>
      <c r="H57">
        <v>1</v>
      </c>
      <c r="I57">
        <v>-1</v>
      </c>
      <c r="J57">
        <v>2245.7124251645391</v>
      </c>
      <c r="K57">
        <f t="shared" ref="K57:Q57" si="57">J112+J113</f>
        <v>3132.6067990175861</v>
      </c>
      <c r="L57">
        <f t="shared" si="57"/>
        <v>-154.11904766541693</v>
      </c>
      <c r="M57">
        <f t="shared" si="57"/>
        <v>-702.94466340063695</v>
      </c>
      <c r="N57">
        <f t="shared" si="57"/>
        <v>18.830023171800349</v>
      </c>
      <c r="O57">
        <f t="shared" si="57"/>
        <v>-51.143474498018804</v>
      </c>
      <c r="P57">
        <f t="shared" si="57"/>
        <v>-20.029129207637652</v>
      </c>
      <c r="Q57">
        <f t="shared" si="57"/>
        <v>56.040663982565775</v>
      </c>
      <c r="R57">
        <f t="shared" si="35"/>
        <v>0.87563537472759023</v>
      </c>
    </row>
    <row r="58" spans="1:18" x14ac:dyDescent="0.25">
      <c r="A58">
        <v>57</v>
      </c>
      <c r="B58" t="s">
        <v>80</v>
      </c>
      <c r="C58">
        <v>-1</v>
      </c>
      <c r="D58">
        <v>-1</v>
      </c>
      <c r="E58">
        <v>-1</v>
      </c>
      <c r="F58">
        <v>1</v>
      </c>
      <c r="G58">
        <v>1</v>
      </c>
      <c r="H58">
        <v>1</v>
      </c>
      <c r="I58">
        <v>-1</v>
      </c>
      <c r="J58">
        <v>2781.91752741748</v>
      </c>
      <c r="K58">
        <f t="shared" ref="K58:Q58" si="58">J114+J115</f>
        <v>4221.7926376015093</v>
      </c>
      <c r="L58">
        <f t="shared" si="58"/>
        <v>-164.83382854095294</v>
      </c>
      <c r="M58">
        <f t="shared" si="58"/>
        <v>-61.788408029946822</v>
      </c>
      <c r="N58">
        <f t="shared" si="58"/>
        <v>-305.890270737028</v>
      </c>
      <c r="O58">
        <f t="shared" si="58"/>
        <v>-26.436842492115829</v>
      </c>
      <c r="P58">
        <f t="shared" si="58"/>
        <v>-156.76066734911183</v>
      </c>
      <c r="Q58">
        <f t="shared" si="58"/>
        <v>75.282415988456705</v>
      </c>
      <c r="R58">
        <f t="shared" si="35"/>
        <v>1.176287749819636</v>
      </c>
    </row>
    <row r="59" spans="1:18" x14ac:dyDescent="0.25">
      <c r="A59">
        <v>58</v>
      </c>
      <c r="B59" t="s">
        <v>81</v>
      </c>
      <c r="C59">
        <v>1</v>
      </c>
      <c r="D59">
        <v>-1</v>
      </c>
      <c r="E59">
        <v>-1</v>
      </c>
      <c r="F59">
        <v>1</v>
      </c>
      <c r="G59">
        <v>1</v>
      </c>
      <c r="H59">
        <v>1</v>
      </c>
      <c r="I59">
        <v>-1</v>
      </c>
      <c r="J59">
        <v>2696.744360275748</v>
      </c>
      <c r="K59">
        <f t="shared" ref="K59:Q59" si="59">J116+J117</f>
        <v>3862.177287811955</v>
      </c>
      <c r="L59">
        <f t="shared" si="59"/>
        <v>-135.81259283645113</v>
      </c>
      <c r="M59">
        <f t="shared" si="59"/>
        <v>-210.24212671763826</v>
      </c>
      <c r="N59">
        <f t="shared" si="59"/>
        <v>-201.72400819131803</v>
      </c>
      <c r="O59">
        <f t="shared" si="59"/>
        <v>-9.6347536001303524</v>
      </c>
      <c r="P59">
        <f t="shared" si="59"/>
        <v>-95.528350720520393</v>
      </c>
      <c r="Q59">
        <f t="shared" si="59"/>
        <v>-39.000664093597379</v>
      </c>
      <c r="R59">
        <f t="shared" si="35"/>
        <v>-0.60938537646245905</v>
      </c>
    </row>
    <row r="60" spans="1:18" x14ac:dyDescent="0.25">
      <c r="A60">
        <v>59</v>
      </c>
      <c r="B60" t="s">
        <v>82</v>
      </c>
      <c r="C60">
        <v>-1</v>
      </c>
      <c r="D60">
        <v>1</v>
      </c>
      <c r="E60">
        <v>-1</v>
      </c>
      <c r="F60">
        <v>1</v>
      </c>
      <c r="G60">
        <v>1</v>
      </c>
      <c r="H60">
        <v>1</v>
      </c>
      <c r="I60">
        <v>-1</v>
      </c>
      <c r="J60">
        <v>2362.3739909305018</v>
      </c>
      <c r="K60">
        <f t="shared" ref="K60:Q60" si="60">J118+J119</f>
        <v>4236.7393974308397</v>
      </c>
      <c r="L60">
        <f t="shared" si="60"/>
        <v>-299.06424129938205</v>
      </c>
      <c r="M60">
        <f t="shared" si="60"/>
        <v>-94.430447339525927</v>
      </c>
      <c r="N60">
        <f t="shared" si="60"/>
        <v>-358.73622439093629</v>
      </c>
      <c r="O60">
        <f t="shared" si="60"/>
        <v>43.471232474237695</v>
      </c>
      <c r="P60">
        <f t="shared" si="60"/>
        <v>-61.849499949950996</v>
      </c>
      <c r="Q60">
        <f t="shared" si="60"/>
        <v>38.571360496634043</v>
      </c>
      <c r="R60">
        <f t="shared" si="35"/>
        <v>0.60267750775990692</v>
      </c>
    </row>
    <row r="61" spans="1:18" x14ac:dyDescent="0.25">
      <c r="A61">
        <v>60</v>
      </c>
      <c r="B61" t="s">
        <v>83</v>
      </c>
      <c r="C61">
        <v>1</v>
      </c>
      <c r="D61">
        <v>1</v>
      </c>
      <c r="E61">
        <v>-1</v>
      </c>
      <c r="F61">
        <v>1</v>
      </c>
      <c r="G61">
        <v>1</v>
      </c>
      <c r="H61">
        <v>1</v>
      </c>
      <c r="I61">
        <v>-1</v>
      </c>
      <c r="J61">
        <v>1990.3633482965961</v>
      </c>
      <c r="K61">
        <f t="shared" ref="K61:Q61" si="61">J120+J121</f>
        <v>3879.4694317310932</v>
      </c>
      <c r="L61">
        <f t="shared" si="61"/>
        <v>-294.78164855121099</v>
      </c>
      <c r="M61">
        <f t="shared" si="61"/>
        <v>-228.81337026905794</v>
      </c>
      <c r="N61">
        <f t="shared" si="61"/>
        <v>-225.96282969803792</v>
      </c>
      <c r="O61">
        <f t="shared" si="61"/>
        <v>47.083949657711855</v>
      </c>
      <c r="P61">
        <f t="shared" si="61"/>
        <v>-12.363761048240121</v>
      </c>
      <c r="Q61">
        <f t="shared" si="61"/>
        <v>-45.718460108670797</v>
      </c>
      <c r="R61">
        <f t="shared" si="35"/>
        <v>-0.71435093919798121</v>
      </c>
    </row>
    <row r="62" spans="1:18" x14ac:dyDescent="0.25">
      <c r="A62">
        <v>61</v>
      </c>
      <c r="B62" t="s">
        <v>84</v>
      </c>
      <c r="C62">
        <v>-1</v>
      </c>
      <c r="D62">
        <v>-1</v>
      </c>
      <c r="E62">
        <v>1</v>
      </c>
      <c r="F62">
        <v>1</v>
      </c>
      <c r="G62">
        <v>1</v>
      </c>
      <c r="H62">
        <v>1</v>
      </c>
      <c r="I62">
        <v>-1</v>
      </c>
      <c r="J62">
        <v>2796.7486277063908</v>
      </c>
      <c r="K62">
        <f t="shared" ref="K62:Q62" si="62">J122+J123</f>
        <v>3890.7498105861469</v>
      </c>
      <c r="L62">
        <f t="shared" si="62"/>
        <v>-93.322773759578013</v>
      </c>
      <c r="M62">
        <f t="shared" si="62"/>
        <v>-51.892803683132342</v>
      </c>
      <c r="N62">
        <f t="shared" si="62"/>
        <v>-93.973101565938578</v>
      </c>
      <c r="O62">
        <f t="shared" si="62"/>
        <v>-96.437359174999301</v>
      </c>
      <c r="P62">
        <f t="shared" si="62"/>
        <v>-12.012543234837722</v>
      </c>
      <c r="Q62">
        <f t="shared" si="62"/>
        <v>-4.3892322600750049</v>
      </c>
      <c r="R62">
        <f t="shared" si="35"/>
        <v>-6.8581754063671951E-2</v>
      </c>
    </row>
    <row r="63" spans="1:18" x14ac:dyDescent="0.25">
      <c r="A63">
        <v>62</v>
      </c>
      <c r="B63" t="s">
        <v>85</v>
      </c>
      <c r="C63">
        <v>1</v>
      </c>
      <c r="D63">
        <v>-1</v>
      </c>
      <c r="E63">
        <v>1</v>
      </c>
      <c r="F63">
        <v>1</v>
      </c>
      <c r="G63">
        <v>1</v>
      </c>
      <c r="H63">
        <v>1</v>
      </c>
      <c r="I63">
        <v>-1</v>
      </c>
      <c r="J63">
        <v>2671.0693015533279</v>
      </c>
      <c r="K63">
        <f t="shared" ref="K63:Q63" si="63">J124+J125</f>
        <v>3227.2818929213531</v>
      </c>
      <c r="L63">
        <f t="shared" si="63"/>
        <v>-96.448646424670869</v>
      </c>
      <c r="M63">
        <f t="shared" si="63"/>
        <v>-264.06511373807484</v>
      </c>
      <c r="N63">
        <f t="shared" si="63"/>
        <v>-27.857893216349567</v>
      </c>
      <c r="O63">
        <f t="shared" si="63"/>
        <v>-93.513168963361295</v>
      </c>
      <c r="P63">
        <f t="shared" si="63"/>
        <v>-31.110877030107076</v>
      </c>
      <c r="Q63">
        <f t="shared" si="63"/>
        <v>7.0967556543967021</v>
      </c>
      <c r="R63">
        <f t="shared" si="35"/>
        <v>0.11088680709994847</v>
      </c>
    </row>
    <row r="64" spans="1:18" x14ac:dyDescent="0.25">
      <c r="A64">
        <v>63</v>
      </c>
      <c r="B64" t="s">
        <v>86</v>
      </c>
      <c r="C64">
        <v>-1</v>
      </c>
      <c r="D64">
        <v>1</v>
      </c>
      <c r="E64">
        <v>1</v>
      </c>
      <c r="F64">
        <v>1</v>
      </c>
      <c r="G64">
        <v>1</v>
      </c>
      <c r="H64">
        <v>1</v>
      </c>
      <c r="I64">
        <v>-1</v>
      </c>
      <c r="J64">
        <v>2386.054769682692</v>
      </c>
      <c r="K64">
        <f t="shared" ref="K64:Q64" si="64">J126+J127</f>
        <v>3908.5867406838343</v>
      </c>
      <c r="L64">
        <f t="shared" si="64"/>
        <v>-209.5988094728059</v>
      </c>
      <c r="M64">
        <f t="shared" si="64"/>
        <v>-120.28706052867142</v>
      </c>
      <c r="N64">
        <f t="shared" si="64"/>
        <v>-141.97885127780864</v>
      </c>
      <c r="O64">
        <f t="shared" si="64"/>
        <v>-33.59964303738343</v>
      </c>
      <c r="P64">
        <f t="shared" si="64"/>
        <v>47.293089758760971</v>
      </c>
      <c r="Q64">
        <f t="shared" si="64"/>
        <v>42.205681791800089</v>
      </c>
      <c r="R64">
        <f t="shared" si="35"/>
        <v>0.65946377799687639</v>
      </c>
    </row>
    <row r="65" spans="1:18" x14ac:dyDescent="0.25">
      <c r="A65">
        <v>64</v>
      </c>
      <c r="B65" t="s">
        <v>87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-1</v>
      </c>
      <c r="J65">
        <v>1844.268255621166</v>
      </c>
      <c r="K65">
        <f t="shared" ref="K65:Q65" si="65">J128+J129</f>
        <v>3261.6034621010331</v>
      </c>
      <c r="L65">
        <f t="shared" si="65"/>
        <v>-239.12951367958681</v>
      </c>
      <c r="M65">
        <f t="shared" si="65"/>
        <v>-366.55929554941099</v>
      </c>
      <c r="N65">
        <f t="shared" si="65"/>
        <v>-48.430111092842253</v>
      </c>
      <c r="O65">
        <f t="shared" si="65"/>
        <v>-73.666652469064957</v>
      </c>
      <c r="P65">
        <f t="shared" si="65"/>
        <v>53.830846558531903</v>
      </c>
      <c r="Q65">
        <f t="shared" si="65"/>
        <v>27.215762543941082</v>
      </c>
      <c r="R65">
        <f t="shared" si="35"/>
        <v>0.42524628974907941</v>
      </c>
    </row>
    <row r="66" spans="1:18" x14ac:dyDescent="0.25">
      <c r="A66">
        <v>65</v>
      </c>
      <c r="B66" t="s">
        <v>88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1</v>
      </c>
      <c r="J66">
        <v>2120.9230400832921</v>
      </c>
      <c r="K66">
        <f t="shared" ref="K66:Q66" si="66">J3-J2</f>
        <v>-125.25790003275597</v>
      </c>
      <c r="L66">
        <f t="shared" si="66"/>
        <v>-776.94245815604972</v>
      </c>
      <c r="M66">
        <f t="shared" si="66"/>
        <v>-94.252788419986246</v>
      </c>
      <c r="N66">
        <f t="shared" si="66"/>
        <v>-2123.5034009982264</v>
      </c>
      <c r="O66">
        <f t="shared" si="66"/>
        <v>798.3419665416659</v>
      </c>
      <c r="P66">
        <f t="shared" si="66"/>
        <v>-1907.395882783836</v>
      </c>
      <c r="Q66">
        <f t="shared" si="66"/>
        <v>-42299.609044237586</v>
      </c>
      <c r="R66">
        <f t="shared" si="35"/>
        <v>-660.93139131621228</v>
      </c>
    </row>
    <row r="67" spans="1:18" x14ac:dyDescent="0.25">
      <c r="A67">
        <v>66</v>
      </c>
      <c r="B67" t="s">
        <v>89</v>
      </c>
      <c r="C67">
        <v>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1</v>
      </c>
      <c r="J67">
        <v>2061.7505233241632</v>
      </c>
      <c r="K67">
        <f t="shared" ref="K67:Q67" si="67">J5-J4</f>
        <v>-243.30624501681586</v>
      </c>
      <c r="L67">
        <f t="shared" si="67"/>
        <v>-898.7636847562917</v>
      </c>
      <c r="M67">
        <f t="shared" si="67"/>
        <v>-9.7503939659582102</v>
      </c>
      <c r="N67">
        <f t="shared" si="67"/>
        <v>-1890.5545531193384</v>
      </c>
      <c r="O67">
        <f t="shared" si="67"/>
        <v>1018.1679766698799</v>
      </c>
      <c r="P67">
        <f t="shared" si="67"/>
        <v>-1536.9667044639646</v>
      </c>
      <c r="Q67">
        <f t="shared" si="67"/>
        <v>5519.261773767972</v>
      </c>
      <c r="R67">
        <f t="shared" ref="R67:R98" si="68">Q67/64</f>
        <v>86.238465215124563</v>
      </c>
    </row>
    <row r="68" spans="1:18" x14ac:dyDescent="0.25">
      <c r="A68">
        <v>67</v>
      </c>
      <c r="B68" t="s">
        <v>90</v>
      </c>
      <c r="C68">
        <v>-1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1</v>
      </c>
      <c r="J68">
        <v>1982.9929669817229</v>
      </c>
      <c r="K68">
        <f t="shared" ref="K68:Q68" si="69">J7-J6</f>
        <v>-129.09329833394213</v>
      </c>
      <c r="L68">
        <f t="shared" si="69"/>
        <v>-1004.7418594962328</v>
      </c>
      <c r="M68">
        <f t="shared" si="69"/>
        <v>-160.89950920222691</v>
      </c>
      <c r="N68">
        <f t="shared" si="69"/>
        <v>-2333.3192392200763</v>
      </c>
      <c r="O68">
        <f t="shared" si="69"/>
        <v>540.7942866442645</v>
      </c>
      <c r="P68">
        <f t="shared" si="69"/>
        <v>-748.00131661549767</v>
      </c>
      <c r="Q68">
        <f t="shared" si="69"/>
        <v>8656.6091307771821</v>
      </c>
      <c r="R68">
        <f t="shared" si="68"/>
        <v>135.25951766839347</v>
      </c>
    </row>
    <row r="69" spans="1:18" x14ac:dyDescent="0.25">
      <c r="A69">
        <v>68</v>
      </c>
      <c r="B69" t="s">
        <v>91</v>
      </c>
      <c r="C69">
        <v>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1</v>
      </c>
      <c r="J69">
        <v>1909.966944241658</v>
      </c>
      <c r="K69">
        <f t="shared" ref="K69:Q69" si="70">J9-J8</f>
        <v>-371.24416112664585</v>
      </c>
      <c r="L69">
        <f t="shared" si="70"/>
        <v>-1124.6019505067288</v>
      </c>
      <c r="M69">
        <f t="shared" si="70"/>
        <v>-161.95384116687455</v>
      </c>
      <c r="N69">
        <f t="shared" si="70"/>
        <v>-2089.1532244505324</v>
      </c>
      <c r="O69">
        <f t="shared" si="70"/>
        <v>663.0920565275992</v>
      </c>
      <c r="P69">
        <f t="shared" si="70"/>
        <v>-435.92127545947187</v>
      </c>
      <c r="Q69">
        <f t="shared" si="70"/>
        <v>2516.6360242771475</v>
      </c>
      <c r="R69">
        <f t="shared" si="68"/>
        <v>39.32243787933043</v>
      </c>
    </row>
    <row r="70" spans="1:18" x14ac:dyDescent="0.25">
      <c r="A70">
        <v>69</v>
      </c>
      <c r="B70" t="s">
        <v>92</v>
      </c>
      <c r="C70">
        <v>-1</v>
      </c>
      <c r="D70">
        <v>-1</v>
      </c>
      <c r="E70">
        <v>1</v>
      </c>
      <c r="F70">
        <v>-1</v>
      </c>
      <c r="G70">
        <v>-1</v>
      </c>
      <c r="H70">
        <v>-1</v>
      </c>
      <c r="I70">
        <v>1</v>
      </c>
      <c r="J70">
        <v>2125.6564480988382</v>
      </c>
      <c r="K70">
        <f t="shared" ref="K70:Q70" si="71">J11-J10</f>
        <v>-185.57371400430111</v>
      </c>
      <c r="L70">
        <f t="shared" si="71"/>
        <v>-774.33623829044063</v>
      </c>
      <c r="M70">
        <f t="shared" si="71"/>
        <v>-79.79326903236506</v>
      </c>
      <c r="N70">
        <f t="shared" si="71"/>
        <v>-1770.6162437711628</v>
      </c>
      <c r="O70">
        <f t="shared" si="71"/>
        <v>417.45003864444357</v>
      </c>
      <c r="P70">
        <f t="shared" si="71"/>
        <v>-1176.074110136793</v>
      </c>
      <c r="Q70">
        <f t="shared" si="71"/>
        <v>1347.3822046247533</v>
      </c>
      <c r="R70">
        <f t="shared" si="68"/>
        <v>21.05284694726177</v>
      </c>
    </row>
    <row r="71" spans="1:18" x14ac:dyDescent="0.25">
      <c r="A71">
        <v>70</v>
      </c>
      <c r="B71" t="s">
        <v>93</v>
      </c>
      <c r="C71">
        <v>1</v>
      </c>
      <c r="D71">
        <v>-1</v>
      </c>
      <c r="E71">
        <v>1</v>
      </c>
      <c r="F71">
        <v>-1</v>
      </c>
      <c r="G71">
        <v>-1</v>
      </c>
      <c r="H71">
        <v>-1</v>
      </c>
      <c r="I71">
        <v>1</v>
      </c>
      <c r="J71">
        <v>2095.7351753337871</v>
      </c>
      <c r="K71">
        <f t="shared" ref="K71:Q71" si="72">J13-J12</f>
        <v>-346.04757077761792</v>
      </c>
      <c r="L71">
        <f t="shared" si="72"/>
        <v>-857.33147939373248</v>
      </c>
      <c r="M71">
        <f t="shared" si="72"/>
        <v>31.031289067246689</v>
      </c>
      <c r="N71">
        <f t="shared" si="72"/>
        <v>-1606.0525055076541</v>
      </c>
      <c r="O71">
        <f t="shared" si="72"/>
        <v>546.25846093387031</v>
      </c>
      <c r="P71">
        <f t="shared" si="72"/>
        <v>-1232.9905417089567</v>
      </c>
      <c r="Q71">
        <f t="shared" si="72"/>
        <v>1312.1035817367963</v>
      </c>
      <c r="R71">
        <f t="shared" si="68"/>
        <v>20.501618464637442</v>
      </c>
    </row>
    <row r="72" spans="1:18" x14ac:dyDescent="0.25">
      <c r="A72">
        <v>71</v>
      </c>
      <c r="B72" t="s">
        <v>94</v>
      </c>
      <c r="C72">
        <v>-1</v>
      </c>
      <c r="D72">
        <v>1</v>
      </c>
      <c r="E72">
        <v>1</v>
      </c>
      <c r="F72">
        <v>-1</v>
      </c>
      <c r="G72">
        <v>-1</v>
      </c>
      <c r="H72">
        <v>-1</v>
      </c>
      <c r="I72">
        <v>1</v>
      </c>
      <c r="J72">
        <v>1996.8048096965449</v>
      </c>
      <c r="K72">
        <f t="shared" ref="K72:Q72" si="73">J15-J14</f>
        <v>-158.1356715170059</v>
      </c>
      <c r="L72">
        <f t="shared" si="73"/>
        <v>-908.88398863441489</v>
      </c>
      <c r="M72">
        <f t="shared" si="73"/>
        <v>-172.87888952592584</v>
      </c>
      <c r="N72">
        <f t="shared" si="73"/>
        <v>-2140.5858356443387</v>
      </c>
      <c r="O72">
        <f t="shared" si="73"/>
        <v>245.60905628537466</v>
      </c>
      <c r="P72">
        <f t="shared" si="73"/>
        <v>-332.88321085146777</v>
      </c>
      <c r="Q72">
        <f t="shared" si="73"/>
        <v>1016.3560935411952</v>
      </c>
      <c r="R72">
        <f t="shared" si="68"/>
        <v>15.880563961581174</v>
      </c>
    </row>
    <row r="73" spans="1:18" x14ac:dyDescent="0.25">
      <c r="A73">
        <v>72</v>
      </c>
      <c r="B73" t="s">
        <v>95</v>
      </c>
      <c r="C73">
        <v>1</v>
      </c>
      <c r="D73">
        <v>1</v>
      </c>
      <c r="E73">
        <v>1</v>
      </c>
      <c r="F73">
        <v>-1</v>
      </c>
      <c r="G73">
        <v>-1</v>
      </c>
      <c r="H73">
        <v>-1</v>
      </c>
      <c r="I73">
        <v>1</v>
      </c>
      <c r="J73">
        <v>1918.948634882483</v>
      </c>
      <c r="K73">
        <f t="shared" ref="K73:Q73" si="74">J17-J16</f>
        <v>-500.39728121870689</v>
      </c>
      <c r="L73">
        <f t="shared" si="74"/>
        <v>-1020.2772078195685</v>
      </c>
      <c r="M73">
        <f t="shared" si="74"/>
        <v>-133.25827235675024</v>
      </c>
      <c r="N73">
        <f t="shared" si="74"/>
        <v>-1911.9568482830291</v>
      </c>
      <c r="O73">
        <f t="shared" si="74"/>
        <v>255.99256789135552</v>
      </c>
      <c r="P73">
        <f t="shared" si="74"/>
        <v>-207.52992114312065</v>
      </c>
      <c r="Q73">
        <f t="shared" si="74"/>
        <v>780.07337586438121</v>
      </c>
      <c r="R73">
        <f t="shared" si="68"/>
        <v>12.188646497880956</v>
      </c>
    </row>
    <row r="74" spans="1:18" x14ac:dyDescent="0.25">
      <c r="A74">
        <v>73</v>
      </c>
      <c r="B74" t="s">
        <v>96</v>
      </c>
      <c r="C74">
        <v>-1</v>
      </c>
      <c r="D74">
        <v>-1</v>
      </c>
      <c r="E74">
        <v>-1</v>
      </c>
      <c r="F74">
        <v>1</v>
      </c>
      <c r="G74">
        <v>-1</v>
      </c>
      <c r="H74">
        <v>-1</v>
      </c>
      <c r="I74">
        <v>1</v>
      </c>
      <c r="J74">
        <v>1956.1945667397999</v>
      </c>
      <c r="K74">
        <f t="shared" ref="K74:Q74" si="75">J19-J18</f>
        <v>-51.123600684203666</v>
      </c>
      <c r="L74">
        <f t="shared" si="75"/>
        <v>-831.88761656555744</v>
      </c>
      <c r="M74">
        <f t="shared" si="75"/>
        <v>61.511593380816521</v>
      </c>
      <c r="N74">
        <f t="shared" si="75"/>
        <v>-321.25263300747201</v>
      </c>
      <c r="O74">
        <f t="shared" si="75"/>
        <v>244.22103877714653</v>
      </c>
      <c r="P74">
        <f t="shared" si="75"/>
        <v>71.957390907251465</v>
      </c>
      <c r="Q74">
        <f t="shared" si="75"/>
        <v>1007.3189845819888</v>
      </c>
      <c r="R74">
        <f t="shared" si="68"/>
        <v>15.739359134093576</v>
      </c>
    </row>
    <row r="75" spans="1:18" x14ac:dyDescent="0.25">
      <c r="A75">
        <v>74</v>
      </c>
      <c r="B75" t="s">
        <v>97</v>
      </c>
      <c r="C75">
        <v>1</v>
      </c>
      <c r="D75">
        <v>-1</v>
      </c>
      <c r="E75">
        <v>-1</v>
      </c>
      <c r="F75">
        <v>1</v>
      </c>
      <c r="G75">
        <v>-1</v>
      </c>
      <c r="H75">
        <v>-1</v>
      </c>
      <c r="I75">
        <v>1</v>
      </c>
      <c r="J75">
        <v>1880.2096865559381</v>
      </c>
      <c r="K75">
        <f t="shared" ref="K75:Q75" si="76">J21-J20</f>
        <v>-217.42424509270177</v>
      </c>
      <c r="L75">
        <f t="shared" si="76"/>
        <v>-989.70187663064553</v>
      </c>
      <c r="M75">
        <f t="shared" si="76"/>
        <v>125.39703709519563</v>
      </c>
      <c r="N75">
        <f t="shared" si="76"/>
        <v>-211.1204389268471</v>
      </c>
      <c r="O75">
        <f t="shared" si="76"/>
        <v>195.05217228905167</v>
      </c>
      <c r="P75">
        <f t="shared" si="76"/>
        <v>84.646115054863913</v>
      </c>
      <c r="Q75">
        <f t="shared" si="76"/>
        <v>321.63748732274075</v>
      </c>
      <c r="R75">
        <f t="shared" si="68"/>
        <v>5.0255857394178243</v>
      </c>
    </row>
    <row r="76" spans="1:18" x14ac:dyDescent="0.25">
      <c r="A76">
        <v>75</v>
      </c>
      <c r="B76" t="s">
        <v>98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1</v>
      </c>
      <c r="J76">
        <v>1736.569234193038</v>
      </c>
      <c r="K76">
        <f t="shared" ref="K76:Q76" si="77">J23-J22</f>
        <v>-99.454124987408704</v>
      </c>
      <c r="L76">
        <f t="shared" si="77"/>
        <v>-1187.5540797299554</v>
      </c>
      <c r="M76">
        <f t="shared" si="77"/>
        <v>14.044649889618086</v>
      </c>
      <c r="N76">
        <f t="shared" si="77"/>
        <v>-380.54281919452546</v>
      </c>
      <c r="O76">
        <f t="shared" si="77"/>
        <v>215.3634625182458</v>
      </c>
      <c r="P76">
        <f t="shared" si="77"/>
        <v>-16.681258604784716</v>
      </c>
      <c r="Q76">
        <f t="shared" si="77"/>
        <v>-23.14121202545266</v>
      </c>
      <c r="R76">
        <f t="shared" si="68"/>
        <v>-0.36158143789769781</v>
      </c>
    </row>
    <row r="77" spans="1:18" x14ac:dyDescent="0.25">
      <c r="A77">
        <v>76</v>
      </c>
      <c r="B77" t="s">
        <v>99</v>
      </c>
      <c r="C77">
        <v>1</v>
      </c>
      <c r="D77">
        <v>1</v>
      </c>
      <c r="E77">
        <v>-1</v>
      </c>
      <c r="F77">
        <v>1</v>
      </c>
      <c r="G77">
        <v>-1</v>
      </c>
      <c r="H77">
        <v>-1</v>
      </c>
      <c r="I77">
        <v>1</v>
      </c>
      <c r="J77">
        <v>1585.409143399289</v>
      </c>
      <c r="K77">
        <f t="shared" ref="K77:Q77" si="78">J25-J24</f>
        <v>-347.24071146393635</v>
      </c>
      <c r="L77">
        <f t="shared" si="78"/>
        <v>-1359.3590018134937</v>
      </c>
      <c r="M77">
        <f t="shared" si="78"/>
        <v>39.536927117894265</v>
      </c>
      <c r="N77">
        <f t="shared" si="78"/>
        <v>-298.09704943406973</v>
      </c>
      <c r="O77">
        <f t="shared" si="78"/>
        <v>187.43360411395133</v>
      </c>
      <c r="P77">
        <f t="shared" si="78"/>
        <v>-13.978313730657646</v>
      </c>
      <c r="Q77">
        <f t="shared" si="78"/>
        <v>73.17913992879835</v>
      </c>
      <c r="R77">
        <f t="shared" si="68"/>
        <v>1.1434240613874742</v>
      </c>
    </row>
    <row r="78" spans="1:18" x14ac:dyDescent="0.25">
      <c r="A78">
        <v>77</v>
      </c>
      <c r="B78" t="s">
        <v>100</v>
      </c>
      <c r="C78">
        <v>-1</v>
      </c>
      <c r="D78">
        <v>-1</v>
      </c>
      <c r="E78">
        <v>1</v>
      </c>
      <c r="F78">
        <v>1</v>
      </c>
      <c r="G78">
        <v>-1</v>
      </c>
      <c r="H78">
        <v>-1</v>
      </c>
      <c r="I78">
        <v>1</v>
      </c>
      <c r="J78">
        <v>1963.848444743074</v>
      </c>
      <c r="K78">
        <f t="shared" ref="K78:Q78" si="79">J27-J26</f>
        <v>-82.366148173498914</v>
      </c>
      <c r="L78">
        <f t="shared" si="79"/>
        <v>-847.05234306027978</v>
      </c>
      <c r="M78">
        <f t="shared" si="79"/>
        <v>81.842069874618574</v>
      </c>
      <c r="N78">
        <f t="shared" si="79"/>
        <v>-191.38794353865705</v>
      </c>
      <c r="O78">
        <f t="shared" si="79"/>
        <v>-65.046371137006417</v>
      </c>
      <c r="P78">
        <f t="shared" si="79"/>
        <v>-121.0460236472245</v>
      </c>
      <c r="Q78">
        <f t="shared" si="79"/>
        <v>-47.541141523297483</v>
      </c>
      <c r="R78">
        <f t="shared" si="68"/>
        <v>-0.74283033630152318</v>
      </c>
    </row>
    <row r="79" spans="1:18" x14ac:dyDescent="0.25">
      <c r="A79">
        <v>78</v>
      </c>
      <c r="B79" t="s">
        <v>101</v>
      </c>
      <c r="C79">
        <v>1</v>
      </c>
      <c r="D79">
        <v>-1</v>
      </c>
      <c r="E79">
        <v>1</v>
      </c>
      <c r="F79">
        <v>1</v>
      </c>
      <c r="G79">
        <v>-1</v>
      </c>
      <c r="H79">
        <v>-1</v>
      </c>
      <c r="I79">
        <v>1</v>
      </c>
      <c r="J79">
        <v>1929.272422977273</v>
      </c>
      <c r="K79">
        <f t="shared" ref="K79:Q79" si="80">J29-J28</f>
        <v>-279.19402236373571</v>
      </c>
      <c r="L79">
        <f t="shared" si="80"/>
        <v>-962.9786069683305</v>
      </c>
      <c r="M79">
        <f t="shared" si="80"/>
        <v>158.89684963793479</v>
      </c>
      <c r="N79">
        <f t="shared" si="80"/>
        <v>-145.83113826018371</v>
      </c>
      <c r="O79">
        <f t="shared" si="80"/>
        <v>-161.044174500601</v>
      </c>
      <c r="P79">
        <f t="shared" si="80"/>
        <v>-11.612831552636635</v>
      </c>
      <c r="Q79">
        <f t="shared" si="80"/>
        <v>-38.795656828120855</v>
      </c>
      <c r="R79">
        <f t="shared" si="68"/>
        <v>-0.60618213793938835</v>
      </c>
    </row>
    <row r="80" spans="1:18" x14ac:dyDescent="0.25">
      <c r="A80">
        <v>79</v>
      </c>
      <c r="B80" t="s">
        <v>102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1</v>
      </c>
      <c r="J80">
        <v>1780.1508690682331</v>
      </c>
      <c r="K80">
        <f t="shared" ref="K80:Q80" si="81">J31-J30</f>
        <v>-123.86850515216884</v>
      </c>
      <c r="L80">
        <f t="shared" si="81"/>
        <v>-1125.9245484661296</v>
      </c>
      <c r="M80">
        <f t="shared" si="81"/>
        <v>32.238903748468147</v>
      </c>
      <c r="N80">
        <f t="shared" si="81"/>
        <v>-293.19946847318897</v>
      </c>
      <c r="O80">
        <f t="shared" si="81"/>
        <v>-51.213282860998788</v>
      </c>
      <c r="P80">
        <f t="shared" si="81"/>
        <v>-77.084775160628169</v>
      </c>
      <c r="Q80">
        <f t="shared" si="81"/>
        <v>126.62677822419573</v>
      </c>
      <c r="R80">
        <f t="shared" si="68"/>
        <v>1.9785434097530583</v>
      </c>
    </row>
    <row r="81" spans="1:18" x14ac:dyDescent="0.25">
      <c r="A81">
        <v>80</v>
      </c>
      <c r="B81" t="s">
        <v>103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  <c r="I81">
        <v>1</v>
      </c>
      <c r="J81">
        <v>1610.5079311946811</v>
      </c>
      <c r="K81">
        <f t="shared" ref="K81:Q81" si="82">J33-J32</f>
        <v>-440.93444546569413</v>
      </c>
      <c r="L81">
        <f t="shared" si="82"/>
        <v>-1237.4949039558605</v>
      </c>
      <c r="M81">
        <f t="shared" si="82"/>
        <v>52.1584992773669</v>
      </c>
      <c r="N81">
        <f t="shared" si="82"/>
        <v>-258.95690296814382</v>
      </c>
      <c r="O81">
        <f t="shared" si="82"/>
        <v>-170.88843865687522</v>
      </c>
      <c r="P81">
        <f t="shared" si="82"/>
        <v>-68.577967588362753</v>
      </c>
      <c r="Q81">
        <f t="shared" si="82"/>
        <v>82.684232631912209</v>
      </c>
      <c r="R81">
        <f t="shared" si="68"/>
        <v>1.2919411348736283</v>
      </c>
    </row>
    <row r="82" spans="1:18" x14ac:dyDescent="0.25">
      <c r="A82">
        <v>81</v>
      </c>
      <c r="B82" t="s">
        <v>104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2123.489103714579</v>
      </c>
      <c r="K82">
        <f t="shared" ref="K82:Q82" si="83">J35-J34</f>
        <v>-184.23823248982308</v>
      </c>
      <c r="L82">
        <f t="shared" si="83"/>
        <v>-289.71365218407482</v>
      </c>
      <c r="M82">
        <f t="shared" si="83"/>
        <v>-131.77331441101614</v>
      </c>
      <c r="N82">
        <f t="shared" si="83"/>
        <v>-453.6376670906202</v>
      </c>
      <c r="O82">
        <f t="shared" si="83"/>
        <v>-218.85016798315701</v>
      </c>
      <c r="P82">
        <f t="shared" si="83"/>
        <v>-408.4145095530439</v>
      </c>
      <c r="Q82">
        <f t="shared" si="83"/>
        <v>-612.62360003968206</v>
      </c>
      <c r="R82">
        <f t="shared" si="68"/>
        <v>-9.5722437506200322</v>
      </c>
    </row>
    <row r="83" spans="1:18" x14ac:dyDescent="0.25">
      <c r="A83">
        <v>82</v>
      </c>
      <c r="B83" t="s">
        <v>105</v>
      </c>
      <c r="C83">
        <v>1</v>
      </c>
      <c r="D83">
        <v>-1</v>
      </c>
      <c r="E83">
        <v>-1</v>
      </c>
      <c r="F83">
        <v>-1</v>
      </c>
      <c r="G83">
        <v>1</v>
      </c>
      <c r="H83">
        <v>-1</v>
      </c>
      <c r="I83">
        <v>1</v>
      </c>
      <c r="J83">
        <v>2112.166790817424</v>
      </c>
      <c r="K83">
        <f t="shared" ref="K83:Q83" si="84">J37-J36</f>
        <v>-277.970236848284</v>
      </c>
      <c r="L83">
        <f t="shared" si="84"/>
        <v>-305.63817885359731</v>
      </c>
      <c r="M83">
        <f t="shared" si="84"/>
        <v>-126.91166795379377</v>
      </c>
      <c r="N83">
        <f t="shared" si="84"/>
        <v>-297.49347876981028</v>
      </c>
      <c r="O83">
        <f t="shared" si="84"/>
        <v>-257.37518191755771</v>
      </c>
      <c r="P83">
        <f t="shared" si="84"/>
        <v>-675.87393464855086</v>
      </c>
      <c r="Q83">
        <f t="shared" si="84"/>
        <v>-462.10687540158369</v>
      </c>
      <c r="R83">
        <f t="shared" si="68"/>
        <v>-7.2204199281497452</v>
      </c>
    </row>
    <row r="84" spans="1:18" x14ac:dyDescent="0.25">
      <c r="A84">
        <v>83</v>
      </c>
      <c r="B84" t="s">
        <v>106</v>
      </c>
      <c r="C84">
        <v>-1</v>
      </c>
      <c r="D84">
        <v>1</v>
      </c>
      <c r="E84">
        <v>-1</v>
      </c>
      <c r="F84">
        <v>-1</v>
      </c>
      <c r="G84">
        <v>1</v>
      </c>
      <c r="H84">
        <v>-1</v>
      </c>
      <c r="I84">
        <v>1</v>
      </c>
      <c r="J84">
        <v>2005.644542802175</v>
      </c>
      <c r="K84">
        <f t="shared" ref="K84:Q84" si="85">J39-J38</f>
        <v>-176.80932358261907</v>
      </c>
      <c r="L84">
        <f t="shared" si="85"/>
        <v>-514.42587570341129</v>
      </c>
      <c r="M84">
        <f t="shared" si="85"/>
        <v>-178.14699067443962</v>
      </c>
      <c r="N84">
        <f t="shared" si="85"/>
        <v>-725.32358834724619</v>
      </c>
      <c r="O84">
        <f t="shared" si="85"/>
        <v>-133.3270534684998</v>
      </c>
      <c r="P84">
        <f t="shared" si="85"/>
        <v>-146.26679669427608</v>
      </c>
      <c r="Q84">
        <f t="shared" si="85"/>
        <v>-36.476144434001071</v>
      </c>
      <c r="R84">
        <f t="shared" si="68"/>
        <v>-0.56993975678126674</v>
      </c>
    </row>
    <row r="85" spans="1:18" x14ac:dyDescent="0.25">
      <c r="A85">
        <v>84</v>
      </c>
      <c r="B85" t="s">
        <v>107</v>
      </c>
      <c r="C85">
        <v>1</v>
      </c>
      <c r="D85">
        <v>1</v>
      </c>
      <c r="E85">
        <v>-1</v>
      </c>
      <c r="F85">
        <v>-1</v>
      </c>
      <c r="G85">
        <v>1</v>
      </c>
      <c r="H85">
        <v>-1</v>
      </c>
      <c r="I85">
        <v>1</v>
      </c>
      <c r="J85">
        <v>1952.1241461374459</v>
      </c>
      <c r="K85">
        <f t="shared" ref="K85:Q85" si="86">J41-J40</f>
        <v>-419.44115322213793</v>
      </c>
      <c r="L85">
        <f t="shared" si="86"/>
        <v>-502.46206745743257</v>
      </c>
      <c r="M85">
        <f t="shared" si="86"/>
        <v>-203.24278008062834</v>
      </c>
      <c r="N85">
        <f t="shared" si="86"/>
        <v>-553.38850239337989</v>
      </c>
      <c r="O85">
        <f t="shared" si="86"/>
        <v>-156.34151648671832</v>
      </c>
      <c r="P85">
        <f t="shared" si="86"/>
        <v>-214.93728964249203</v>
      </c>
      <c r="Q85">
        <f t="shared" si="86"/>
        <v>3.9888241197334082</v>
      </c>
      <c r="R85">
        <f t="shared" si="68"/>
        <v>6.2325376870834504E-2</v>
      </c>
    </row>
    <row r="86" spans="1:18" x14ac:dyDescent="0.25">
      <c r="A86">
        <v>85</v>
      </c>
      <c r="B86" t="s">
        <v>108</v>
      </c>
      <c r="C86">
        <v>-1</v>
      </c>
      <c r="D86">
        <v>-1</v>
      </c>
      <c r="E86">
        <v>1</v>
      </c>
      <c r="F86">
        <v>-1</v>
      </c>
      <c r="G86">
        <v>1</v>
      </c>
      <c r="H86">
        <v>-1</v>
      </c>
      <c r="I86">
        <v>1</v>
      </c>
      <c r="J86">
        <v>2126.3366201375452</v>
      </c>
      <c r="K86">
        <f t="shared" ref="K86:Q86" si="87">J43-J42</f>
        <v>-220.70698521310487</v>
      </c>
      <c r="L86">
        <f t="shared" si="87"/>
        <v>-277.88720559238209</v>
      </c>
      <c r="M86">
        <f t="shared" si="87"/>
        <v>-134.04200746664992</v>
      </c>
      <c r="N86">
        <f t="shared" si="87"/>
        <v>-421.53611212317173</v>
      </c>
      <c r="O86">
        <f t="shared" si="87"/>
        <v>-122.70478839025805</v>
      </c>
      <c r="P86">
        <f t="shared" si="87"/>
        <v>-527.5809448801956</v>
      </c>
      <c r="Q86">
        <f t="shared" si="87"/>
        <v>186.5567799454966</v>
      </c>
      <c r="R86">
        <f t="shared" si="68"/>
        <v>2.9149496866483844</v>
      </c>
    </row>
    <row r="87" spans="1:18" x14ac:dyDescent="0.25">
      <c r="A87">
        <v>86</v>
      </c>
      <c r="B87" t="s">
        <v>109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  <c r="I87">
        <v>1</v>
      </c>
      <c r="J87">
        <v>2114.899225917035</v>
      </c>
      <c r="K87">
        <f t="shared" ref="K87:Q87" si="88">J45-J44</f>
        <v>-438.29555765703481</v>
      </c>
      <c r="L87">
        <f t="shared" si="88"/>
        <v>-275.00245874791835</v>
      </c>
      <c r="M87">
        <f t="shared" si="88"/>
        <v>-120.99667959711019</v>
      </c>
      <c r="N87">
        <f t="shared" si="88"/>
        <v>-291.09698299966931</v>
      </c>
      <c r="O87">
        <f t="shared" si="88"/>
        <v>-146.67863759714237</v>
      </c>
      <c r="P87">
        <f t="shared" si="88"/>
        <v>-627.71825838082714</v>
      </c>
      <c r="Q87">
        <f t="shared" si="88"/>
        <v>123.35437945763283</v>
      </c>
      <c r="R87">
        <f t="shared" si="68"/>
        <v>1.927412179025513</v>
      </c>
    </row>
    <row r="88" spans="1:18" x14ac:dyDescent="0.25">
      <c r="A88">
        <v>87</v>
      </c>
      <c r="B88" t="s">
        <v>110</v>
      </c>
      <c r="C88">
        <v>-1</v>
      </c>
      <c r="D88">
        <v>1</v>
      </c>
      <c r="E88">
        <v>1</v>
      </c>
      <c r="F88">
        <v>-1</v>
      </c>
      <c r="G88">
        <v>1</v>
      </c>
      <c r="H88">
        <v>-1</v>
      </c>
      <c r="I88">
        <v>1</v>
      </c>
      <c r="J88">
        <v>2014.9515725495619</v>
      </c>
      <c r="K88">
        <f t="shared" ref="K88:Q88" si="89">J47-J46</f>
        <v>-176.28712545672079</v>
      </c>
      <c r="L88">
        <f t="shared" si="89"/>
        <v>-431.22714587158498</v>
      </c>
      <c r="M88">
        <f t="shared" si="89"/>
        <v>-191.43529422195115</v>
      </c>
      <c r="N88">
        <f t="shared" si="89"/>
        <v>-746.78547274537414</v>
      </c>
      <c r="O88">
        <f t="shared" si="89"/>
        <v>-80.068641205220956</v>
      </c>
      <c r="P88">
        <f t="shared" si="89"/>
        <v>-329.77464198772282</v>
      </c>
      <c r="Q88">
        <f t="shared" si="89"/>
        <v>-92.221105329812417</v>
      </c>
      <c r="R88">
        <f t="shared" si="68"/>
        <v>-1.440954770778319</v>
      </c>
    </row>
    <row r="89" spans="1:18" x14ac:dyDescent="0.25">
      <c r="A89">
        <v>88</v>
      </c>
      <c r="B89" t="s">
        <v>111</v>
      </c>
      <c r="C89">
        <v>1</v>
      </c>
      <c r="D89">
        <v>1</v>
      </c>
      <c r="E89">
        <v>1</v>
      </c>
      <c r="F89">
        <v>-1</v>
      </c>
      <c r="G89">
        <v>1</v>
      </c>
      <c r="H89">
        <v>-1</v>
      </c>
      <c r="I89">
        <v>1</v>
      </c>
      <c r="J89">
        <v>1951.2818147570999</v>
      </c>
      <c r="K89">
        <f t="shared" ref="K89:Q89" si="90">J49-J48</f>
        <v>-603.71209701052908</v>
      </c>
      <c r="L89">
        <f t="shared" si="90"/>
        <v>-412.75950146838477</v>
      </c>
      <c r="M89">
        <f t="shared" si="90"/>
        <v>-210.28203043895132</v>
      </c>
      <c r="N89">
        <f t="shared" si="90"/>
        <v>-593.56588075829404</v>
      </c>
      <c r="O89">
        <f t="shared" si="90"/>
        <v>-65.960405324546628</v>
      </c>
      <c r="P89">
        <f t="shared" si="90"/>
        <v>-175.60790345845862</v>
      </c>
      <c r="Q89">
        <f t="shared" si="90"/>
        <v>-77.275708704052931</v>
      </c>
      <c r="R89">
        <f t="shared" si="68"/>
        <v>-1.2074329485008271</v>
      </c>
    </row>
    <row r="90" spans="1:18" x14ac:dyDescent="0.25">
      <c r="A90">
        <v>89</v>
      </c>
      <c r="B90" t="s">
        <v>112</v>
      </c>
      <c r="C90">
        <v>-1</v>
      </c>
      <c r="D90">
        <v>-1</v>
      </c>
      <c r="E90">
        <v>-1</v>
      </c>
      <c r="F90">
        <v>1</v>
      </c>
      <c r="G90">
        <v>1</v>
      </c>
      <c r="H90">
        <v>-1</v>
      </c>
      <c r="I90">
        <v>1</v>
      </c>
      <c r="J90">
        <v>1958.7616029290809</v>
      </c>
      <c r="K90">
        <f t="shared" ref="K90:Q90" si="91">J51-J50</f>
        <v>-73.083383630068056</v>
      </c>
      <c r="L90">
        <f t="shared" si="91"/>
        <v>-355.49719163490727</v>
      </c>
      <c r="M90">
        <f t="shared" si="91"/>
        <v>24.421091920080926</v>
      </c>
      <c r="N90">
        <f t="shared" si="91"/>
        <v>-142.53625869825419</v>
      </c>
      <c r="O90">
        <f t="shared" si="91"/>
        <v>47.292857322292548</v>
      </c>
      <c r="P90">
        <f t="shared" si="91"/>
        <v>66.997112779406962</v>
      </c>
      <c r="Q90">
        <f t="shared" si="91"/>
        <v>-83.922137023613686</v>
      </c>
      <c r="R90">
        <f t="shared" si="68"/>
        <v>-1.3112833909939638</v>
      </c>
    </row>
    <row r="91" spans="1:18" x14ac:dyDescent="0.25">
      <c r="A91">
        <v>90</v>
      </c>
      <c r="B91" t="s">
        <v>113</v>
      </c>
      <c r="C91">
        <v>1</v>
      </c>
      <c r="D91">
        <v>-1</v>
      </c>
      <c r="E91">
        <v>-1</v>
      </c>
      <c r="F91">
        <v>1</v>
      </c>
      <c r="G91">
        <v>1</v>
      </c>
      <c r="H91">
        <v>-1</v>
      </c>
      <c r="I91">
        <v>1</v>
      </c>
      <c r="J91">
        <v>1945.6780660585409</v>
      </c>
      <c r="K91">
        <f t="shared" ref="K91:Q91" si="92">J53-J52</f>
        <v>-244.47526953703482</v>
      </c>
      <c r="L91">
        <f t="shared" si="92"/>
        <v>-378.49512991782922</v>
      </c>
      <c r="M91">
        <f t="shared" si="92"/>
        <v>22.926011338257922</v>
      </c>
      <c r="N91">
        <f t="shared" si="92"/>
        <v>-99.80658361873634</v>
      </c>
      <c r="O91">
        <f t="shared" si="92"/>
        <v>102.12256275084474</v>
      </c>
      <c r="P91">
        <f t="shared" si="92"/>
        <v>7.5966543495596852</v>
      </c>
      <c r="Q91">
        <f t="shared" si="92"/>
        <v>-112.77859305756215</v>
      </c>
      <c r="R91">
        <f t="shared" si="68"/>
        <v>-1.7621655165244086</v>
      </c>
    </row>
    <row r="92" spans="1:18" x14ac:dyDescent="0.25">
      <c r="A92">
        <v>91</v>
      </c>
      <c r="B92" t="s">
        <v>114</v>
      </c>
      <c r="C92">
        <v>-1</v>
      </c>
      <c r="D92">
        <v>1</v>
      </c>
      <c r="E92">
        <v>-1</v>
      </c>
      <c r="F92">
        <v>1</v>
      </c>
      <c r="G92">
        <v>1</v>
      </c>
      <c r="H92">
        <v>-1</v>
      </c>
      <c r="I92">
        <v>1</v>
      </c>
      <c r="J92">
        <v>1795.8954692075599</v>
      </c>
      <c r="K92">
        <f t="shared" ref="K92:Q92" si="93">J55-J54</f>
        <v>-120.45447210016937</v>
      </c>
      <c r="L92">
        <f t="shared" si="93"/>
        <v>-745.36227534035788</v>
      </c>
      <c r="M92">
        <f t="shared" si="93"/>
        <v>-10.264442451088144</v>
      </c>
      <c r="N92">
        <f t="shared" si="93"/>
        <v>-308.64970999975844</v>
      </c>
      <c r="O92">
        <f t="shared" si="93"/>
        <v>25.313109671207712</v>
      </c>
      <c r="P92">
        <f t="shared" si="93"/>
        <v>14.432734601505899</v>
      </c>
      <c r="Q92">
        <f t="shared" si="93"/>
        <v>-44.42055316409369</v>
      </c>
      <c r="R92">
        <f t="shared" si="68"/>
        <v>-0.6940711431889639</v>
      </c>
    </row>
    <row r="93" spans="1:18" x14ac:dyDescent="0.25">
      <c r="A93">
        <v>92</v>
      </c>
      <c r="B93" t="s">
        <v>115</v>
      </c>
      <c r="C93">
        <v>1</v>
      </c>
      <c r="D93">
        <v>1</v>
      </c>
      <c r="E93">
        <v>-1</v>
      </c>
      <c r="F93">
        <v>1</v>
      </c>
      <c r="G93">
        <v>1</v>
      </c>
      <c r="H93">
        <v>-1</v>
      </c>
      <c r="I93">
        <v>1</v>
      </c>
      <c r="J93">
        <v>1677.317053908477</v>
      </c>
      <c r="K93">
        <f t="shared" ref="K93:Q93" si="94">J57-J56</f>
        <v>-388.53947528888466</v>
      </c>
      <c r="L93">
        <f t="shared" si="94"/>
        <v>-735.41551895775274</v>
      </c>
      <c r="M93">
        <f t="shared" si="94"/>
        <v>-22.457095495793965</v>
      </c>
      <c r="N93">
        <f t="shared" si="94"/>
        <v>-263.4677743049549</v>
      </c>
      <c r="O93">
        <f t="shared" si="94"/>
        <v>31.881205072117154</v>
      </c>
      <c r="P93">
        <f t="shared" si="94"/>
        <v>-37.455740871489979</v>
      </c>
      <c r="Q93">
        <f t="shared" si="94"/>
        <v>-107.94073998195904</v>
      </c>
      <c r="R93">
        <f t="shared" si="68"/>
        <v>-1.68657406221811</v>
      </c>
    </row>
    <row r="94" spans="1:18" x14ac:dyDescent="0.25">
      <c r="A94">
        <v>93</v>
      </c>
      <c r="B94" t="s">
        <v>116</v>
      </c>
      <c r="C94">
        <v>-1</v>
      </c>
      <c r="D94">
        <v>-1</v>
      </c>
      <c r="E94">
        <v>1</v>
      </c>
      <c r="F94">
        <v>1</v>
      </c>
      <c r="G94">
        <v>1</v>
      </c>
      <c r="H94">
        <v>-1</v>
      </c>
      <c r="I94">
        <v>1</v>
      </c>
      <c r="J94">
        <v>1965.1872941287099</v>
      </c>
      <c r="K94">
        <f t="shared" ref="K94:Q94" si="95">J59-J58</f>
        <v>-85.173167141731938</v>
      </c>
      <c r="L94">
        <f t="shared" si="95"/>
        <v>-359.61534978955433</v>
      </c>
      <c r="M94">
        <f t="shared" si="95"/>
        <v>29.021235704501805</v>
      </c>
      <c r="N94">
        <f t="shared" si="95"/>
        <v>-148.45371868769143</v>
      </c>
      <c r="O94">
        <f t="shared" si="95"/>
        <v>104.16626254570997</v>
      </c>
      <c r="P94">
        <f t="shared" si="95"/>
        <v>16.802088891985477</v>
      </c>
      <c r="Q94">
        <f t="shared" si="95"/>
        <v>61.232316628591434</v>
      </c>
      <c r="R94">
        <f t="shared" si="68"/>
        <v>0.95675494732174116</v>
      </c>
    </row>
    <row r="95" spans="1:18" x14ac:dyDescent="0.25">
      <c r="A95">
        <v>94</v>
      </c>
      <c r="B95" t="s">
        <v>117</v>
      </c>
      <c r="C95">
        <v>1</v>
      </c>
      <c r="D95">
        <v>-1</v>
      </c>
      <c r="E95">
        <v>1</v>
      </c>
      <c r="F95">
        <v>1</v>
      </c>
      <c r="G95">
        <v>1</v>
      </c>
      <c r="H95">
        <v>-1</v>
      </c>
      <c r="I95">
        <v>1</v>
      </c>
      <c r="J95">
        <v>1949.787016216259</v>
      </c>
      <c r="K95">
        <f t="shared" ref="K95:Q95" si="96">J61-J60</f>
        <v>-372.01064263390572</v>
      </c>
      <c r="L95">
        <f t="shared" si="96"/>
        <v>-357.26996569974654</v>
      </c>
      <c r="M95">
        <f t="shared" si="96"/>
        <v>4.2825927481710551</v>
      </c>
      <c r="N95">
        <f t="shared" si="96"/>
        <v>-134.38292292953201</v>
      </c>
      <c r="O95">
        <f t="shared" si="96"/>
        <v>132.77339469289836</v>
      </c>
      <c r="P95">
        <f t="shared" si="96"/>
        <v>3.6127171834741603</v>
      </c>
      <c r="Q95">
        <f t="shared" si="96"/>
        <v>49.485738901710874</v>
      </c>
      <c r="R95">
        <f t="shared" si="68"/>
        <v>0.77321467033923241</v>
      </c>
    </row>
    <row r="96" spans="1:18" x14ac:dyDescent="0.25">
      <c r="A96">
        <v>95</v>
      </c>
      <c r="B96" t="s">
        <v>118</v>
      </c>
      <c r="C96">
        <v>-1</v>
      </c>
      <c r="D96">
        <v>1</v>
      </c>
      <c r="E96">
        <v>1</v>
      </c>
      <c r="F96">
        <v>1</v>
      </c>
      <c r="G96">
        <v>1</v>
      </c>
      <c r="H96">
        <v>-1</v>
      </c>
      <c r="I96">
        <v>1</v>
      </c>
      <c r="J96">
        <v>1820.466789314775</v>
      </c>
      <c r="K96">
        <f t="shared" ref="K96:Q96" si="97">J63-J62</f>
        <v>-125.6793261530629</v>
      </c>
      <c r="L96">
        <f t="shared" si="97"/>
        <v>-663.46791766479373</v>
      </c>
      <c r="M96">
        <f t="shared" si="97"/>
        <v>-3.1258726650928566</v>
      </c>
      <c r="N96">
        <f t="shared" si="97"/>
        <v>-212.1723100549425</v>
      </c>
      <c r="O96">
        <f t="shared" si="97"/>
        <v>66.115208349589011</v>
      </c>
      <c r="P96">
        <f t="shared" si="97"/>
        <v>2.9241902116380061</v>
      </c>
      <c r="Q96">
        <f t="shared" si="97"/>
        <v>-19.098333795269355</v>
      </c>
      <c r="R96">
        <f t="shared" si="68"/>
        <v>-0.29841146555108367</v>
      </c>
    </row>
    <row r="97" spans="1:18" x14ac:dyDescent="0.25">
      <c r="A97">
        <v>96</v>
      </c>
      <c r="B97" t="s">
        <v>119</v>
      </c>
      <c r="C97">
        <v>1</v>
      </c>
      <c r="D97">
        <v>1</v>
      </c>
      <c r="E97">
        <v>1</v>
      </c>
      <c r="F97">
        <v>1</v>
      </c>
      <c r="G97">
        <v>1</v>
      </c>
      <c r="H97">
        <v>-1</v>
      </c>
      <c r="I97">
        <v>1</v>
      </c>
      <c r="J97">
        <v>1681.7480195618091</v>
      </c>
      <c r="K97">
        <f t="shared" ref="K97:Q97" si="98">J65-J64</f>
        <v>-541.78651406152608</v>
      </c>
      <c r="L97">
        <f t="shared" si="98"/>
        <v>-646.98327858280118</v>
      </c>
      <c r="M97">
        <f t="shared" si="98"/>
        <v>-29.530704206780911</v>
      </c>
      <c r="N97">
        <f t="shared" si="98"/>
        <v>-246.27223502073957</v>
      </c>
      <c r="O97">
        <f t="shared" si="98"/>
        <v>93.548740184966391</v>
      </c>
      <c r="P97">
        <f t="shared" si="98"/>
        <v>-40.067009431681527</v>
      </c>
      <c r="Q97">
        <f t="shared" si="98"/>
        <v>6.537756799770932</v>
      </c>
      <c r="R97">
        <f t="shared" si="68"/>
        <v>0.10215244999642081</v>
      </c>
    </row>
    <row r="98" spans="1:18" x14ac:dyDescent="0.25">
      <c r="A98">
        <v>97</v>
      </c>
      <c r="B98" t="s">
        <v>120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1</v>
      </c>
      <c r="I98">
        <v>1</v>
      </c>
      <c r="J98">
        <v>2116.6868352029719</v>
      </c>
      <c r="K98">
        <f t="shared" ref="K98:Q98" si="99">J67-J66</f>
        <v>-59.172516759128939</v>
      </c>
      <c r="L98">
        <f t="shared" si="99"/>
        <v>-118.0483449840599</v>
      </c>
      <c r="M98">
        <f t="shared" si="99"/>
        <v>-121.82122660024197</v>
      </c>
      <c r="N98">
        <f t="shared" si="99"/>
        <v>84.502394454028035</v>
      </c>
      <c r="O98">
        <f t="shared" si="99"/>
        <v>232.94884787888805</v>
      </c>
      <c r="P98">
        <f t="shared" si="99"/>
        <v>219.82601012821397</v>
      </c>
      <c r="Q98">
        <f t="shared" si="99"/>
        <v>370.42917831987143</v>
      </c>
      <c r="R98">
        <f t="shared" si="68"/>
        <v>5.787955911247991</v>
      </c>
    </row>
    <row r="99" spans="1:18" x14ac:dyDescent="0.25">
      <c r="A99">
        <v>98</v>
      </c>
      <c r="B99" t="s">
        <v>121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I99">
        <v>1</v>
      </c>
      <c r="J99">
        <v>2036.3380481438901</v>
      </c>
      <c r="K99">
        <f t="shared" ref="K99:Q99" si="100">J69-J68</f>
        <v>-73.026022740064946</v>
      </c>
      <c r="L99">
        <f t="shared" si="100"/>
        <v>-242.15086279270372</v>
      </c>
      <c r="M99">
        <f t="shared" si="100"/>
        <v>-119.86009101049603</v>
      </c>
      <c r="N99">
        <f t="shared" si="100"/>
        <v>-1.0543319646476448</v>
      </c>
      <c r="O99">
        <f t="shared" si="100"/>
        <v>244.16601476954384</v>
      </c>
      <c r="P99">
        <f t="shared" si="100"/>
        <v>122.29776988333469</v>
      </c>
      <c r="Q99">
        <f t="shared" si="100"/>
        <v>312.0800411560258</v>
      </c>
      <c r="R99">
        <f t="shared" ref="R99:R130" si="101">Q99/64</f>
        <v>4.8762506430629031</v>
      </c>
    </row>
    <row r="100" spans="1:18" x14ac:dyDescent="0.25">
      <c r="A100">
        <v>99</v>
      </c>
      <c r="B100" t="s">
        <v>122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1</v>
      </c>
      <c r="I100">
        <v>1</v>
      </c>
      <c r="J100">
        <v>1941.006366596913</v>
      </c>
      <c r="K100">
        <f t="shared" ref="K100:Q100" si="102">J71-J70</f>
        <v>-29.921272765051071</v>
      </c>
      <c r="L100">
        <f t="shared" si="102"/>
        <v>-160.47385677331681</v>
      </c>
      <c r="M100">
        <f t="shared" si="102"/>
        <v>-82.995241103291846</v>
      </c>
      <c r="N100">
        <f t="shared" si="102"/>
        <v>110.82455809961175</v>
      </c>
      <c r="O100">
        <f t="shared" si="102"/>
        <v>164.56373826350864</v>
      </c>
      <c r="P100">
        <f t="shared" si="102"/>
        <v>128.80842228942674</v>
      </c>
      <c r="Q100">
        <f t="shared" si="102"/>
        <v>-56.916431572163674</v>
      </c>
      <c r="R100">
        <f t="shared" si="101"/>
        <v>-0.88931924331505741</v>
      </c>
    </row>
    <row r="101" spans="1:18" x14ac:dyDescent="0.25">
      <c r="A101">
        <v>100</v>
      </c>
      <c r="B101" t="s">
        <v>123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1</v>
      </c>
      <c r="I101">
        <v>1</v>
      </c>
      <c r="J101">
        <v>1856.5213251150419</v>
      </c>
      <c r="K101">
        <f t="shared" ref="K101:Q101" si="103">J73-J72</f>
        <v>-77.856174814061887</v>
      </c>
      <c r="L101">
        <f t="shared" si="103"/>
        <v>-342.26160970170099</v>
      </c>
      <c r="M101">
        <f t="shared" si="103"/>
        <v>-111.39321918515361</v>
      </c>
      <c r="N101">
        <f t="shared" si="103"/>
        <v>39.620617169175603</v>
      </c>
      <c r="O101">
        <f t="shared" si="103"/>
        <v>228.62898736130956</v>
      </c>
      <c r="P101">
        <f t="shared" si="103"/>
        <v>10.383511605980857</v>
      </c>
      <c r="Q101">
        <f t="shared" si="103"/>
        <v>125.35328970834712</v>
      </c>
      <c r="R101">
        <f t="shared" si="101"/>
        <v>1.9586451516929237</v>
      </c>
    </row>
    <row r="102" spans="1:18" x14ac:dyDescent="0.25">
      <c r="A102">
        <v>101</v>
      </c>
      <c r="B102" t="s">
        <v>124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1</v>
      </c>
      <c r="I102">
        <v>1</v>
      </c>
      <c r="J102">
        <v>2124.7364546068429</v>
      </c>
      <c r="K102">
        <f t="shared" ref="K102:Q102" si="104">J75-J74</f>
        <v>-75.984880183861833</v>
      </c>
      <c r="L102">
        <f t="shared" si="104"/>
        <v>-166.3006444084981</v>
      </c>
      <c r="M102">
        <f t="shared" si="104"/>
        <v>-157.81426006508809</v>
      </c>
      <c r="N102">
        <f t="shared" si="104"/>
        <v>63.885443714379107</v>
      </c>
      <c r="O102">
        <f t="shared" si="104"/>
        <v>110.13219408062491</v>
      </c>
      <c r="P102">
        <f t="shared" si="104"/>
        <v>-49.168866488094864</v>
      </c>
      <c r="Q102">
        <f t="shared" si="104"/>
        <v>12.688724147612447</v>
      </c>
      <c r="R102">
        <f t="shared" si="101"/>
        <v>0.19826131480644449</v>
      </c>
    </row>
    <row r="103" spans="1:18" x14ac:dyDescent="0.25">
      <c r="A103">
        <v>102</v>
      </c>
      <c r="B103" t="s">
        <v>125</v>
      </c>
      <c r="C103">
        <v>1</v>
      </c>
      <c r="D103">
        <v>-1</v>
      </c>
      <c r="E103">
        <v>1</v>
      </c>
      <c r="F103">
        <v>-1</v>
      </c>
      <c r="G103">
        <v>-1</v>
      </c>
      <c r="H103">
        <v>1</v>
      </c>
      <c r="I103">
        <v>1</v>
      </c>
      <c r="J103">
        <v>2080.7084328187889</v>
      </c>
      <c r="K103">
        <f t="shared" ref="K103:Q103" si="105">J77-J76</f>
        <v>-151.16009079374908</v>
      </c>
      <c r="L103">
        <f t="shared" si="105"/>
        <v>-247.78658647652765</v>
      </c>
      <c r="M103">
        <f t="shared" si="105"/>
        <v>-171.80492208353826</v>
      </c>
      <c r="N103">
        <f t="shared" si="105"/>
        <v>25.49227722827618</v>
      </c>
      <c r="O103">
        <f t="shared" si="105"/>
        <v>82.445769760455732</v>
      </c>
      <c r="P103">
        <f t="shared" si="105"/>
        <v>-27.929858404294464</v>
      </c>
      <c r="Q103">
        <f t="shared" si="105"/>
        <v>2.7029448741270699</v>
      </c>
      <c r="R103">
        <f t="shared" si="101"/>
        <v>4.2233513658235466E-2</v>
      </c>
    </row>
    <row r="104" spans="1:18" x14ac:dyDescent="0.25">
      <c r="A104">
        <v>103</v>
      </c>
      <c r="B104" t="s">
        <v>126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1</v>
      </c>
      <c r="J104">
        <v>1959.3671642781001</v>
      </c>
      <c r="K104">
        <f t="shared" ref="K104:Q104" si="106">J79-J78</f>
        <v>-34.576021765800988</v>
      </c>
      <c r="L104">
        <f t="shared" si="106"/>
        <v>-196.8278741902368</v>
      </c>
      <c r="M104">
        <f t="shared" si="106"/>
        <v>-115.92626390805071</v>
      </c>
      <c r="N104">
        <f t="shared" si="106"/>
        <v>77.054779763316219</v>
      </c>
      <c r="O104">
        <f t="shared" si="106"/>
        <v>45.556805278473348</v>
      </c>
      <c r="P104">
        <f t="shared" si="106"/>
        <v>-95.997803363594585</v>
      </c>
      <c r="Q104">
        <f t="shared" si="106"/>
        <v>109.43319209458787</v>
      </c>
      <c r="R104">
        <f t="shared" si="101"/>
        <v>1.7098936264779354</v>
      </c>
    </row>
    <row r="105" spans="1:18" x14ac:dyDescent="0.25">
      <c r="A105">
        <v>104</v>
      </c>
      <c r="B105" t="s">
        <v>127</v>
      </c>
      <c r="C105">
        <v>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1</v>
      </c>
      <c r="J105">
        <v>1867.582593229703</v>
      </c>
      <c r="K105">
        <f t="shared" ref="K105:Q105" si="107">J81-J80</f>
        <v>-169.642937873552</v>
      </c>
      <c r="L105">
        <f t="shared" si="107"/>
        <v>-317.06594031352529</v>
      </c>
      <c r="M105">
        <f t="shared" si="107"/>
        <v>-111.5703554897309</v>
      </c>
      <c r="N105">
        <f t="shared" si="107"/>
        <v>19.919595528898753</v>
      </c>
      <c r="O105">
        <f t="shared" si="107"/>
        <v>34.24256550504515</v>
      </c>
      <c r="P105">
        <f t="shared" si="107"/>
        <v>-119.67515579587644</v>
      </c>
      <c r="Q105">
        <f t="shared" si="107"/>
        <v>8.5068075722654157</v>
      </c>
      <c r="R105">
        <f t="shared" si="101"/>
        <v>0.13291886831664712</v>
      </c>
    </row>
    <row r="106" spans="1:18" x14ac:dyDescent="0.25">
      <c r="A106">
        <v>105</v>
      </c>
      <c r="B106" t="s">
        <v>128</v>
      </c>
      <c r="C106">
        <v>-1</v>
      </c>
      <c r="D106">
        <v>-1</v>
      </c>
      <c r="E106">
        <v>-1</v>
      </c>
      <c r="F106">
        <v>1</v>
      </c>
      <c r="G106">
        <v>-1</v>
      </c>
      <c r="H106">
        <v>1</v>
      </c>
      <c r="I106">
        <v>1</v>
      </c>
      <c r="J106">
        <v>1950.826376336455</v>
      </c>
      <c r="K106">
        <f t="shared" ref="K106:Q106" si="108">J83-J82</f>
        <v>-11.322312897154916</v>
      </c>
      <c r="L106">
        <f t="shared" si="108"/>
        <v>-93.732004358460927</v>
      </c>
      <c r="M106">
        <f t="shared" si="108"/>
        <v>-15.924526669522493</v>
      </c>
      <c r="N106">
        <f t="shared" si="108"/>
        <v>4.8616464572223776</v>
      </c>
      <c r="O106">
        <f t="shared" si="108"/>
        <v>156.14418832080992</v>
      </c>
      <c r="P106">
        <f t="shared" si="108"/>
        <v>-38.525013934400704</v>
      </c>
      <c r="Q106">
        <f t="shared" si="108"/>
        <v>-267.45942509550696</v>
      </c>
      <c r="R106">
        <f t="shared" si="101"/>
        <v>-4.1790535171172962</v>
      </c>
    </row>
    <row r="107" spans="1:18" x14ac:dyDescent="0.25">
      <c r="A107">
        <v>106</v>
      </c>
      <c r="B107" t="s">
        <v>129</v>
      </c>
      <c r="C107">
        <v>1</v>
      </c>
      <c r="D107">
        <v>-1</v>
      </c>
      <c r="E107">
        <v>-1</v>
      </c>
      <c r="F107">
        <v>1</v>
      </c>
      <c r="G107">
        <v>-1</v>
      </c>
      <c r="H107">
        <v>1</v>
      </c>
      <c r="I107">
        <v>1</v>
      </c>
      <c r="J107">
        <v>1842.720895011219</v>
      </c>
      <c r="K107">
        <f t="shared" ref="K107:Q107" si="109">J85-J84</f>
        <v>-53.520396664729105</v>
      </c>
      <c r="L107">
        <f t="shared" si="109"/>
        <v>-242.63182963951886</v>
      </c>
      <c r="M107">
        <f t="shared" si="109"/>
        <v>11.963808245978726</v>
      </c>
      <c r="N107">
        <f t="shared" si="109"/>
        <v>-25.095789406188715</v>
      </c>
      <c r="O107">
        <f t="shared" si="109"/>
        <v>171.93508595386629</v>
      </c>
      <c r="P107">
        <f t="shared" si="109"/>
        <v>-23.014463018218521</v>
      </c>
      <c r="Q107">
        <f t="shared" si="109"/>
        <v>-68.670492948215951</v>
      </c>
      <c r="R107">
        <f t="shared" si="101"/>
        <v>-1.0729764523158742</v>
      </c>
    </row>
    <row r="108" spans="1:18" x14ac:dyDescent="0.25">
      <c r="A108">
        <v>107</v>
      </c>
      <c r="B108" t="s">
        <v>130</v>
      </c>
      <c r="C108">
        <v>-1</v>
      </c>
      <c r="D108">
        <v>1</v>
      </c>
      <c r="E108">
        <v>-1</v>
      </c>
      <c r="F108">
        <v>1</v>
      </c>
      <c r="G108">
        <v>-1</v>
      </c>
      <c r="H108">
        <v>1</v>
      </c>
      <c r="I108">
        <v>1</v>
      </c>
      <c r="J108">
        <v>1619.5718779907311</v>
      </c>
      <c r="K108">
        <f t="shared" ref="K108:Q108" si="110">J87-J86</f>
        <v>-11.437394220510214</v>
      </c>
      <c r="L108">
        <f t="shared" si="110"/>
        <v>-217.58857244392993</v>
      </c>
      <c r="M108">
        <f t="shared" si="110"/>
        <v>2.8847468444637343</v>
      </c>
      <c r="N108">
        <f t="shared" si="110"/>
        <v>13.045327869539733</v>
      </c>
      <c r="O108">
        <f t="shared" si="110"/>
        <v>130.43912912350243</v>
      </c>
      <c r="P108">
        <f t="shared" si="110"/>
        <v>-23.973849206884324</v>
      </c>
      <c r="Q108">
        <f t="shared" si="110"/>
        <v>-100.13731350063154</v>
      </c>
      <c r="R108">
        <f t="shared" si="101"/>
        <v>-1.5646455234473677</v>
      </c>
    </row>
    <row r="109" spans="1:18" x14ac:dyDescent="0.25">
      <c r="A109">
        <v>108</v>
      </c>
      <c r="B109" t="s">
        <v>131</v>
      </c>
      <c r="C109">
        <v>1</v>
      </c>
      <c r="D109">
        <v>1</v>
      </c>
      <c r="E109">
        <v>-1</v>
      </c>
      <c r="F109">
        <v>1</v>
      </c>
      <c r="G109">
        <v>-1</v>
      </c>
      <c r="H109">
        <v>1</v>
      </c>
      <c r="I109">
        <v>1</v>
      </c>
      <c r="J109">
        <v>1428.6131180165851</v>
      </c>
      <c r="K109">
        <f t="shared" ref="K109:Q109" si="111">J89-J88</f>
        <v>-63.669757792461951</v>
      </c>
      <c r="L109">
        <f t="shared" si="111"/>
        <v>-427.42497155380829</v>
      </c>
      <c r="M109">
        <f t="shared" si="111"/>
        <v>18.467644403200211</v>
      </c>
      <c r="N109">
        <f t="shared" si="111"/>
        <v>-18.846736217000171</v>
      </c>
      <c r="O109">
        <f t="shared" si="111"/>
        <v>153.21959198708009</v>
      </c>
      <c r="P109">
        <f t="shared" si="111"/>
        <v>14.108235880674329</v>
      </c>
      <c r="Q109">
        <f t="shared" si="111"/>
        <v>154.16673852926419</v>
      </c>
      <c r="R109">
        <f t="shared" si="101"/>
        <v>2.408855289519753</v>
      </c>
    </row>
    <row r="110" spans="1:18" x14ac:dyDescent="0.25">
      <c r="A110">
        <v>109</v>
      </c>
      <c r="B110" t="s">
        <v>132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1</v>
      </c>
      <c r="I110">
        <v>1</v>
      </c>
      <c r="J110">
        <v>1962.403612353181</v>
      </c>
      <c r="K110">
        <f t="shared" ref="K110:Q110" si="112">J91-J90</f>
        <v>-13.083536870540001</v>
      </c>
      <c r="L110">
        <f t="shared" si="112"/>
        <v>-171.39188590696676</v>
      </c>
      <c r="M110">
        <f t="shared" si="112"/>
        <v>-22.99793828292195</v>
      </c>
      <c r="N110">
        <f t="shared" si="112"/>
        <v>-1.4950805818230037</v>
      </c>
      <c r="O110">
        <f t="shared" si="112"/>
        <v>42.729675079517847</v>
      </c>
      <c r="P110">
        <f t="shared" si="112"/>
        <v>54.829705428552188</v>
      </c>
      <c r="Q110">
        <f t="shared" si="112"/>
        <v>-59.400458429847276</v>
      </c>
      <c r="R110">
        <f t="shared" si="101"/>
        <v>-0.92813216296636369</v>
      </c>
    </row>
    <row r="111" spans="1:18" x14ac:dyDescent="0.25">
      <c r="A111">
        <v>110</v>
      </c>
      <c r="B111" t="s">
        <v>133</v>
      </c>
      <c r="C111">
        <v>1</v>
      </c>
      <c r="D111">
        <v>-1</v>
      </c>
      <c r="E111">
        <v>1</v>
      </c>
      <c r="F111">
        <v>1</v>
      </c>
      <c r="G111">
        <v>-1</v>
      </c>
      <c r="H111">
        <v>1</v>
      </c>
      <c r="I111">
        <v>1</v>
      </c>
      <c r="J111">
        <v>1905.6187056221579</v>
      </c>
      <c r="K111">
        <f t="shared" ref="K111:Q111" si="113">J93-J92</f>
        <v>-118.57841529908296</v>
      </c>
      <c r="L111">
        <f t="shared" si="113"/>
        <v>-268.08500318871529</v>
      </c>
      <c r="M111">
        <f t="shared" si="113"/>
        <v>9.9467563826051446</v>
      </c>
      <c r="N111">
        <f t="shared" si="113"/>
        <v>-12.192653044705821</v>
      </c>
      <c r="O111">
        <f t="shared" si="113"/>
        <v>45.181935694803542</v>
      </c>
      <c r="P111">
        <f t="shared" si="113"/>
        <v>6.5680954009094421</v>
      </c>
      <c r="Q111">
        <f t="shared" si="113"/>
        <v>-51.888475472995879</v>
      </c>
      <c r="R111">
        <f t="shared" si="101"/>
        <v>-0.8107574292655606</v>
      </c>
    </row>
    <row r="112" spans="1:18" x14ac:dyDescent="0.25">
      <c r="A112">
        <v>111</v>
      </c>
      <c r="B112" t="s">
        <v>134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1685.3017704188869</v>
      </c>
      <c r="K112">
        <f t="shared" ref="K112:Q112" si="114">J95-J94</f>
        <v>-15.400277912450974</v>
      </c>
      <c r="L112">
        <f t="shared" si="114"/>
        <v>-286.83747549217378</v>
      </c>
      <c r="M112">
        <f t="shared" si="114"/>
        <v>2.3453840898077942</v>
      </c>
      <c r="N112">
        <f t="shared" si="114"/>
        <v>-24.73864295633075</v>
      </c>
      <c r="O112">
        <f t="shared" si="114"/>
        <v>14.07079575815942</v>
      </c>
      <c r="P112">
        <f t="shared" si="114"/>
        <v>28.607132147188395</v>
      </c>
      <c r="Q112">
        <f t="shared" si="114"/>
        <v>-13.189371708511317</v>
      </c>
      <c r="R112">
        <f t="shared" si="101"/>
        <v>-0.20608393294548932</v>
      </c>
    </row>
    <row r="113" spans="1:18" x14ac:dyDescent="0.25">
      <c r="A113">
        <v>112</v>
      </c>
      <c r="B113" t="s">
        <v>135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1</v>
      </c>
      <c r="J113">
        <v>1447.305028598699</v>
      </c>
      <c r="K113">
        <f t="shared" ref="K113:Q113" si="115">J97-J96</f>
        <v>-138.71876975296595</v>
      </c>
      <c r="L113">
        <f t="shared" si="115"/>
        <v>-416.10718790846317</v>
      </c>
      <c r="M113">
        <f t="shared" si="115"/>
        <v>16.484639081992555</v>
      </c>
      <c r="N113">
        <f t="shared" si="115"/>
        <v>-26.404831541688054</v>
      </c>
      <c r="O113">
        <f t="shared" si="115"/>
        <v>-34.099924965797072</v>
      </c>
      <c r="P113">
        <f t="shared" si="115"/>
        <v>27.43353183537738</v>
      </c>
      <c r="Q113">
        <f t="shared" si="115"/>
        <v>-42.991199643319533</v>
      </c>
      <c r="R113">
        <f t="shared" si="101"/>
        <v>-0.6717374944268677</v>
      </c>
    </row>
    <row r="114" spans="1:18" x14ac:dyDescent="0.25">
      <c r="A114">
        <v>113</v>
      </c>
      <c r="B114" t="s">
        <v>136</v>
      </c>
      <c r="C114">
        <v>-1</v>
      </c>
      <c r="D114">
        <v>-1</v>
      </c>
      <c r="E114">
        <v>-1</v>
      </c>
      <c r="F114">
        <v>-1</v>
      </c>
      <c r="G114">
        <v>1</v>
      </c>
      <c r="H114">
        <v>1</v>
      </c>
      <c r="I114">
        <v>1</v>
      </c>
      <c r="J114">
        <v>2121.0349871887202</v>
      </c>
      <c r="K114">
        <f t="shared" ref="K114:Q114" si="116">J99-J98</f>
        <v>-80.348787059081815</v>
      </c>
      <c r="L114">
        <f t="shared" si="116"/>
        <v>-13.853505980936006</v>
      </c>
      <c r="M114">
        <f t="shared" si="116"/>
        <v>-124.10251780864382</v>
      </c>
      <c r="N114">
        <f t="shared" si="116"/>
        <v>1.9611355897459362</v>
      </c>
      <c r="O114">
        <f t="shared" si="116"/>
        <v>-85.55672641867568</v>
      </c>
      <c r="P114">
        <f t="shared" si="116"/>
        <v>11.21716689065579</v>
      </c>
      <c r="Q114">
        <f t="shared" si="116"/>
        <v>-97.528240244879271</v>
      </c>
      <c r="R114">
        <f t="shared" si="101"/>
        <v>-1.5238787538262386</v>
      </c>
    </row>
    <row r="115" spans="1:18" x14ac:dyDescent="0.25">
      <c r="A115">
        <v>114</v>
      </c>
      <c r="B115" t="s">
        <v>137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1</v>
      </c>
      <c r="I115">
        <v>1</v>
      </c>
      <c r="J115">
        <v>2100.7576504127892</v>
      </c>
      <c r="K115">
        <f t="shared" ref="K115:Q115" si="117">J101-J100</f>
        <v>-84.485041481871122</v>
      </c>
      <c r="L115">
        <f t="shared" si="117"/>
        <v>-47.934902049010816</v>
      </c>
      <c r="M115">
        <f t="shared" si="117"/>
        <v>-181.78775292838418</v>
      </c>
      <c r="N115">
        <f t="shared" si="117"/>
        <v>-28.397978081861766</v>
      </c>
      <c r="O115">
        <f t="shared" si="117"/>
        <v>-71.203940930436147</v>
      </c>
      <c r="P115">
        <f t="shared" si="117"/>
        <v>64.065249097800915</v>
      </c>
      <c r="Q115">
        <f t="shared" si="117"/>
        <v>-118.42491068344589</v>
      </c>
      <c r="R115">
        <f t="shared" si="101"/>
        <v>-1.850389229428842</v>
      </c>
    </row>
    <row r="116" spans="1:18" x14ac:dyDescent="0.25">
      <c r="A116">
        <v>115</v>
      </c>
      <c r="B116" t="s">
        <v>138</v>
      </c>
      <c r="C116">
        <v>-1</v>
      </c>
      <c r="D116">
        <v>1</v>
      </c>
      <c r="E116">
        <v>-1</v>
      </c>
      <c r="F116">
        <v>-1</v>
      </c>
      <c r="G116">
        <v>1</v>
      </c>
      <c r="H116">
        <v>1</v>
      </c>
      <c r="I116">
        <v>1</v>
      </c>
      <c r="J116">
        <v>1967.611362397801</v>
      </c>
      <c r="K116">
        <f t="shared" ref="K116:Q116" si="118">J103-J102</f>
        <v>-44.028021788054048</v>
      </c>
      <c r="L116">
        <f t="shared" si="118"/>
        <v>-75.175210609887245</v>
      </c>
      <c r="M116">
        <f t="shared" si="118"/>
        <v>-81.485942068029544</v>
      </c>
      <c r="N116">
        <f t="shared" si="118"/>
        <v>-13.990662018450166</v>
      </c>
      <c r="O116">
        <f t="shared" si="118"/>
        <v>-38.393166486102928</v>
      </c>
      <c r="P116">
        <f t="shared" si="118"/>
        <v>-27.686424320169181</v>
      </c>
      <c r="Q116">
        <f t="shared" si="118"/>
        <v>21.2390080838004</v>
      </c>
      <c r="R116">
        <f t="shared" si="101"/>
        <v>0.33185950130938124</v>
      </c>
    </row>
    <row r="117" spans="1:18" x14ac:dyDescent="0.25">
      <c r="A117">
        <v>116</v>
      </c>
      <c r="B117" t="s">
        <v>139</v>
      </c>
      <c r="C117">
        <v>1</v>
      </c>
      <c r="D117">
        <v>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1894.565925414154</v>
      </c>
      <c r="K117">
        <f t="shared" ref="K117:Q117" si="119">J105-J104</f>
        <v>-91.784571048397083</v>
      </c>
      <c r="L117">
        <f t="shared" si="119"/>
        <v>-135.06691610775101</v>
      </c>
      <c r="M117">
        <f t="shared" si="119"/>
        <v>-120.23806612328849</v>
      </c>
      <c r="N117">
        <f t="shared" si="119"/>
        <v>4.3559084183198138</v>
      </c>
      <c r="O117">
        <f t="shared" si="119"/>
        <v>-57.135184234417466</v>
      </c>
      <c r="P117">
        <f t="shared" si="119"/>
        <v>-11.314239773428199</v>
      </c>
      <c r="Q117">
        <f t="shared" si="119"/>
        <v>-23.67735243228185</v>
      </c>
      <c r="R117">
        <f t="shared" si="101"/>
        <v>-0.36995863175440391</v>
      </c>
    </row>
    <row r="118" spans="1:18" x14ac:dyDescent="0.25">
      <c r="A118">
        <v>117</v>
      </c>
      <c r="B118" t="s">
        <v>140</v>
      </c>
      <c r="C118">
        <v>-1</v>
      </c>
      <c r="D118">
        <v>-1</v>
      </c>
      <c r="E118">
        <v>1</v>
      </c>
      <c r="F118">
        <v>-1</v>
      </c>
      <c r="G118">
        <v>1</v>
      </c>
      <c r="H118">
        <v>1</v>
      </c>
      <c r="I118">
        <v>1</v>
      </c>
      <c r="J118">
        <v>2125.602120241349</v>
      </c>
      <c r="K118">
        <f t="shared" ref="K118:Q118" si="120">J107-J106</f>
        <v>-108.10548132523604</v>
      </c>
      <c r="L118">
        <f t="shared" si="120"/>
        <v>-42.19808376757419</v>
      </c>
      <c r="M118">
        <f t="shared" si="120"/>
        <v>-148.89982528105793</v>
      </c>
      <c r="N118">
        <f t="shared" si="120"/>
        <v>27.888334915501218</v>
      </c>
      <c r="O118">
        <f t="shared" si="120"/>
        <v>-29.957435863411092</v>
      </c>
      <c r="P118">
        <f t="shared" si="120"/>
        <v>15.790897633056375</v>
      </c>
      <c r="Q118">
        <f t="shared" si="120"/>
        <v>15.510550916182183</v>
      </c>
      <c r="R118">
        <f t="shared" si="101"/>
        <v>0.24235235806534661</v>
      </c>
    </row>
    <row r="119" spans="1:18" x14ac:dyDescent="0.25">
      <c r="A119">
        <v>118</v>
      </c>
      <c r="B119" t="s">
        <v>141</v>
      </c>
      <c r="C119">
        <v>1</v>
      </c>
      <c r="D119">
        <v>-1</v>
      </c>
      <c r="E119">
        <v>1</v>
      </c>
      <c r="F119">
        <v>-1</v>
      </c>
      <c r="G119">
        <v>1</v>
      </c>
      <c r="H119">
        <v>1</v>
      </c>
      <c r="I119">
        <v>1</v>
      </c>
      <c r="J119">
        <v>2111.1372771894912</v>
      </c>
      <c r="K119">
        <f t="shared" ref="K119:Q119" si="121">J109-J108</f>
        <v>-190.95875997414601</v>
      </c>
      <c r="L119">
        <f t="shared" si="121"/>
        <v>-52.232363571951737</v>
      </c>
      <c r="M119">
        <f t="shared" si="121"/>
        <v>-209.83639910987836</v>
      </c>
      <c r="N119">
        <f t="shared" si="121"/>
        <v>15.582897558736477</v>
      </c>
      <c r="O119">
        <f t="shared" si="121"/>
        <v>-31.892064086539904</v>
      </c>
      <c r="P119">
        <f t="shared" si="121"/>
        <v>22.780462863577668</v>
      </c>
      <c r="Q119">
        <f t="shared" si="121"/>
        <v>38.082085087558653</v>
      </c>
      <c r="R119">
        <f t="shared" si="101"/>
        <v>0.59503257949310395</v>
      </c>
    </row>
    <row r="120" spans="1:18" x14ac:dyDescent="0.25">
      <c r="A120">
        <v>119</v>
      </c>
      <c r="B120" t="s">
        <v>142</v>
      </c>
      <c r="C120">
        <v>-1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1980.726617551953</v>
      </c>
      <c r="K120">
        <f t="shared" ref="K120:Q120" si="122">J111-J110</f>
        <v>-56.784906731023057</v>
      </c>
      <c r="L120">
        <f t="shared" si="122"/>
        <v>-105.49487842854296</v>
      </c>
      <c r="M120">
        <f t="shared" si="122"/>
        <v>-96.693117281748528</v>
      </c>
      <c r="N120">
        <f t="shared" si="122"/>
        <v>32.944694665527095</v>
      </c>
      <c r="O120">
        <f t="shared" si="122"/>
        <v>-10.697572462882817</v>
      </c>
      <c r="P120">
        <f t="shared" si="122"/>
        <v>2.4522606152856952</v>
      </c>
      <c r="Q120">
        <f t="shared" si="122"/>
        <v>-48.261610027642746</v>
      </c>
      <c r="R120">
        <f t="shared" si="101"/>
        <v>-0.75408765668191791</v>
      </c>
    </row>
    <row r="121" spans="1:18" x14ac:dyDescent="0.25">
      <c r="A121">
        <v>120</v>
      </c>
      <c r="B121" t="s">
        <v>143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  <c r="I121">
        <v>1</v>
      </c>
      <c r="J121">
        <v>1898.7428141791399</v>
      </c>
      <c r="K121">
        <f t="shared" ref="K121:Q121" si="123">J113-J112</f>
        <v>-237.99674182018794</v>
      </c>
      <c r="L121">
        <f t="shared" si="123"/>
        <v>-123.31849184051498</v>
      </c>
      <c r="M121">
        <f t="shared" si="123"/>
        <v>-129.26971241628939</v>
      </c>
      <c r="N121">
        <f t="shared" si="123"/>
        <v>14.13925499218476</v>
      </c>
      <c r="O121">
        <f t="shared" si="123"/>
        <v>-1.666188585357304</v>
      </c>
      <c r="P121">
        <f t="shared" si="123"/>
        <v>-48.170720723956492</v>
      </c>
      <c r="Q121">
        <f t="shared" si="123"/>
        <v>-1.1736003118110148</v>
      </c>
      <c r="R121">
        <f t="shared" si="101"/>
        <v>-1.8337504872047106E-2</v>
      </c>
    </row>
    <row r="122" spans="1:18" x14ac:dyDescent="0.25">
      <c r="A122">
        <v>121</v>
      </c>
      <c r="B122" t="s">
        <v>144</v>
      </c>
      <c r="C122">
        <v>-1</v>
      </c>
      <c r="D122">
        <v>-1</v>
      </c>
      <c r="E122">
        <v>-1</v>
      </c>
      <c r="F122">
        <v>1</v>
      </c>
      <c r="G122">
        <v>1</v>
      </c>
      <c r="H122">
        <v>1</v>
      </c>
      <c r="I122">
        <v>1</v>
      </c>
      <c r="J122">
        <v>1956.1646020900489</v>
      </c>
      <c r="K122">
        <f t="shared" ref="K122:Q122" si="124">J115-J114</f>
        <v>-20.277336775930962</v>
      </c>
      <c r="L122">
        <f t="shared" si="124"/>
        <v>-4.1362544227893068</v>
      </c>
      <c r="M122">
        <f t="shared" si="124"/>
        <v>-34.08139606807481</v>
      </c>
      <c r="N122">
        <f t="shared" si="124"/>
        <v>-57.685235119740355</v>
      </c>
      <c r="O122">
        <f t="shared" si="124"/>
        <v>-30.359113671607702</v>
      </c>
      <c r="P122">
        <f t="shared" si="124"/>
        <v>14.352785488239533</v>
      </c>
      <c r="Q122">
        <f t="shared" si="124"/>
        <v>52.848082207145126</v>
      </c>
      <c r="R122">
        <f t="shared" si="101"/>
        <v>0.82575128448664259</v>
      </c>
    </row>
    <row r="123" spans="1:18" x14ac:dyDescent="0.25">
      <c r="A123">
        <v>122</v>
      </c>
      <c r="B123" t="s">
        <v>145</v>
      </c>
      <c r="C123">
        <v>1</v>
      </c>
      <c r="D123">
        <v>-1</v>
      </c>
      <c r="E123">
        <v>-1</v>
      </c>
      <c r="F123">
        <v>1</v>
      </c>
      <c r="G123">
        <v>1</v>
      </c>
      <c r="H123">
        <v>1</v>
      </c>
      <c r="I123">
        <v>1</v>
      </c>
      <c r="J123">
        <v>1934.5852084960979</v>
      </c>
      <c r="K123">
        <f t="shared" ref="K123:Q123" si="125">J117-J116</f>
        <v>-73.045436983647051</v>
      </c>
      <c r="L123">
        <f t="shared" si="125"/>
        <v>-47.756549260343036</v>
      </c>
      <c r="M123">
        <f t="shared" si="125"/>
        <v>-59.891705497863768</v>
      </c>
      <c r="N123">
        <f t="shared" si="125"/>
        <v>-38.752124055258946</v>
      </c>
      <c r="O123">
        <f t="shared" si="125"/>
        <v>18.34657043676998</v>
      </c>
      <c r="P123">
        <f t="shared" si="125"/>
        <v>-18.742017748314538</v>
      </c>
      <c r="Q123">
        <f t="shared" si="125"/>
        <v>16.372184546740982</v>
      </c>
      <c r="R123">
        <f t="shared" si="101"/>
        <v>0.25581538354282785</v>
      </c>
    </row>
    <row r="124" spans="1:18" x14ac:dyDescent="0.25">
      <c r="A124">
        <v>123</v>
      </c>
      <c r="B124" t="s">
        <v>146</v>
      </c>
      <c r="C124">
        <v>-1</v>
      </c>
      <c r="D124">
        <v>1</v>
      </c>
      <c r="E124">
        <v>-1</v>
      </c>
      <c r="F124">
        <v>1</v>
      </c>
      <c r="G124">
        <v>1</v>
      </c>
      <c r="H124">
        <v>1</v>
      </c>
      <c r="I124">
        <v>1</v>
      </c>
      <c r="J124">
        <v>1707.650654400104</v>
      </c>
      <c r="K124">
        <f t="shared" ref="K124:Q124" si="126">J119-J118</f>
        <v>-14.46484305185777</v>
      </c>
      <c r="L124">
        <f t="shared" si="126"/>
        <v>-82.853278648909964</v>
      </c>
      <c r="M124">
        <f t="shared" si="126"/>
        <v>-10.034279804377547</v>
      </c>
      <c r="N124">
        <f t="shared" si="126"/>
        <v>-60.936573828820428</v>
      </c>
      <c r="O124">
        <f t="shared" si="126"/>
        <v>-12.305437356764742</v>
      </c>
      <c r="P124">
        <f t="shared" si="126"/>
        <v>-1.9346282231288114</v>
      </c>
      <c r="Q124">
        <f t="shared" si="126"/>
        <v>6.9895652305212934</v>
      </c>
      <c r="R124">
        <f t="shared" si="101"/>
        <v>0.10921195672689521</v>
      </c>
    </row>
    <row r="125" spans="1:18" x14ac:dyDescent="0.25">
      <c r="A125">
        <v>124</v>
      </c>
      <c r="B125" t="s">
        <v>147</v>
      </c>
      <c r="C125">
        <v>1</v>
      </c>
      <c r="D125">
        <v>1</v>
      </c>
      <c r="E125">
        <v>-1</v>
      </c>
      <c r="F125">
        <v>1</v>
      </c>
      <c r="G125">
        <v>1</v>
      </c>
      <c r="H125">
        <v>1</v>
      </c>
      <c r="I125">
        <v>1</v>
      </c>
      <c r="J125">
        <v>1519.6312385212491</v>
      </c>
      <c r="K125">
        <f t="shared" ref="K125:Q125" si="127">J121-J120</f>
        <v>-81.983803372813099</v>
      </c>
      <c r="L125">
        <f t="shared" si="127"/>
        <v>-181.21183508916488</v>
      </c>
      <c r="M125">
        <f t="shared" si="127"/>
        <v>-17.823613411972019</v>
      </c>
      <c r="N125">
        <f t="shared" si="127"/>
        <v>-32.576595134540867</v>
      </c>
      <c r="O125">
        <f t="shared" si="127"/>
        <v>-18.805439673342335</v>
      </c>
      <c r="P125">
        <f t="shared" si="127"/>
        <v>9.0313838775255135</v>
      </c>
      <c r="Q125">
        <f t="shared" si="127"/>
        <v>-50.622981339242187</v>
      </c>
      <c r="R125">
        <f t="shared" si="101"/>
        <v>-0.79098408342565918</v>
      </c>
    </row>
    <row r="126" spans="1:18" x14ac:dyDescent="0.25">
      <c r="A126">
        <v>125</v>
      </c>
      <c r="B126" t="s">
        <v>148</v>
      </c>
      <c r="C126">
        <v>-1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1964.045930445687</v>
      </c>
      <c r="K126">
        <f t="shared" ref="K126:Q126" si="128">J123-J122</f>
        <v>-21.579393593950954</v>
      </c>
      <c r="L126">
        <f t="shared" si="128"/>
        <v>-52.768100207716088</v>
      </c>
      <c r="M126">
        <f t="shared" si="128"/>
        <v>-43.620294837553729</v>
      </c>
      <c r="N126">
        <f t="shared" si="128"/>
        <v>-25.810309429788958</v>
      </c>
      <c r="O126">
        <f t="shared" si="128"/>
        <v>18.933111064481409</v>
      </c>
      <c r="P126">
        <f t="shared" si="128"/>
        <v>48.705684108377682</v>
      </c>
      <c r="Q126">
        <f t="shared" si="128"/>
        <v>-33.094803236554071</v>
      </c>
      <c r="R126">
        <f t="shared" si="101"/>
        <v>-0.51710630057115736</v>
      </c>
    </row>
    <row r="127" spans="1:18" x14ac:dyDescent="0.25">
      <c r="A127">
        <v>126</v>
      </c>
      <c r="B127" t="s">
        <v>149</v>
      </c>
      <c r="C127">
        <v>1</v>
      </c>
      <c r="D127">
        <v>-1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1944.5408102381471</v>
      </c>
      <c r="K127">
        <f t="shared" ref="K127:Q127" si="129">J125-J124</f>
        <v>-188.01941587885494</v>
      </c>
      <c r="L127">
        <f t="shared" si="129"/>
        <v>-67.51896032095533</v>
      </c>
      <c r="M127">
        <f t="shared" si="129"/>
        <v>-98.358556440254915</v>
      </c>
      <c r="N127">
        <f t="shared" si="129"/>
        <v>-7.7893336075944717</v>
      </c>
      <c r="O127">
        <f t="shared" si="129"/>
        <v>28.359978694279562</v>
      </c>
      <c r="P127">
        <f t="shared" si="129"/>
        <v>-6.5000023165775929</v>
      </c>
      <c r="Q127">
        <f t="shared" si="129"/>
        <v>10.966012100654325</v>
      </c>
      <c r="R127">
        <f t="shared" si="101"/>
        <v>0.17134393907272383</v>
      </c>
    </row>
    <row r="128" spans="1:18" x14ac:dyDescent="0.25">
      <c r="A128">
        <v>127</v>
      </c>
      <c r="B128" t="s">
        <v>150</v>
      </c>
      <c r="C128">
        <v>-1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1740.61392778654</v>
      </c>
      <c r="K128">
        <f t="shared" ref="K128:Q128" si="130">J127-J126</f>
        <v>-19.505120207539903</v>
      </c>
      <c r="L128">
        <f t="shared" si="130"/>
        <v>-166.44002228490399</v>
      </c>
      <c r="M128">
        <f t="shared" si="130"/>
        <v>-14.750860113239241</v>
      </c>
      <c r="N128">
        <f t="shared" si="130"/>
        <v>-54.738261602701186</v>
      </c>
      <c r="O128">
        <f t="shared" si="130"/>
        <v>18.020975822194487</v>
      </c>
      <c r="P128">
        <f t="shared" si="130"/>
        <v>9.4268676297981528</v>
      </c>
      <c r="Q128">
        <f t="shared" si="130"/>
        <v>-55.205686424955275</v>
      </c>
      <c r="R128">
        <f t="shared" si="101"/>
        <v>-0.86258885038992617</v>
      </c>
    </row>
    <row r="129" spans="1:18" x14ac:dyDescent="0.25">
      <c r="A129">
        <v>128</v>
      </c>
      <c r="B129" t="s">
        <v>151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1520.9895343144931</v>
      </c>
      <c r="K129">
        <f t="shared" ref="K129:Q129" si="131">J129-J128</f>
        <v>-219.6243934720469</v>
      </c>
      <c r="L129">
        <f t="shared" si="131"/>
        <v>-200.119273264507</v>
      </c>
      <c r="M129">
        <f t="shared" si="131"/>
        <v>-33.679250979603012</v>
      </c>
      <c r="N129">
        <f t="shared" si="131"/>
        <v>-18.92839086636377</v>
      </c>
      <c r="O129">
        <f t="shared" si="131"/>
        <v>35.809870736337416</v>
      </c>
      <c r="P129">
        <f t="shared" si="131"/>
        <v>17.788894914142929</v>
      </c>
      <c r="Q129">
        <f t="shared" si="131"/>
        <v>8.3620272843447765</v>
      </c>
      <c r="R129">
        <f t="shared" si="101"/>
        <v>0.13065667631788713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64"/>
  <sheetViews>
    <sheetView workbookViewId="0"/>
  </sheetViews>
  <sheetFormatPr baseColWidth="10" defaultColWidth="9.140625" defaultRowHeight="15" x14ac:dyDescent="0.25"/>
  <sheetData>
    <row r="1" spans="1:36" ht="22.5" x14ac:dyDescent="0.3">
      <c r="A1" s="2" t="s">
        <v>213</v>
      </c>
    </row>
    <row r="2" spans="1:36" x14ac:dyDescent="0.2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176</v>
      </c>
      <c r="S2" t="s">
        <v>177</v>
      </c>
      <c r="T2" t="s">
        <v>178</v>
      </c>
      <c r="U2" t="s">
        <v>179</v>
      </c>
      <c r="V2" t="s">
        <v>180</v>
      </c>
    </row>
    <row r="3" spans="1:36" x14ac:dyDescent="0.25">
      <c r="A3" t="s">
        <v>16</v>
      </c>
      <c r="B3">
        <v>1.20666453423997</v>
      </c>
      <c r="C3">
        <v>-7.5861072726501888E-3</v>
      </c>
      <c r="D3">
        <v>1.0045984902807681</v>
      </c>
      <c r="E3">
        <v>-0.49437319240453131</v>
      </c>
      <c r="F3">
        <v>0.17660966130478681</v>
      </c>
      <c r="G3">
        <v>1.5957019370573779E-2</v>
      </c>
      <c r="H3">
        <v>-0.1369086224954934</v>
      </c>
      <c r="I3">
        <v>1.972912345062571</v>
      </c>
      <c r="J3">
        <v>-0.63931947379710952</v>
      </c>
      <c r="K3">
        <v>0.35279597937329188</v>
      </c>
      <c r="L3">
        <v>0.34007046524557433</v>
      </c>
      <c r="M3">
        <v>-0.19932795568383249</v>
      </c>
      <c r="N3">
        <v>0.26019302374404352</v>
      </c>
      <c r="O3">
        <v>4.7479639149140551E-3</v>
      </c>
      <c r="P3">
        <v>-8.4361427998512872E-2</v>
      </c>
      <c r="Q3">
        <v>-0.49965709693003812</v>
      </c>
      <c r="R3">
        <v>0.32317290298421408</v>
      </c>
      <c r="S3">
        <v>0.44346147972172728</v>
      </c>
      <c r="T3">
        <v>1.188593244083247E-2</v>
      </c>
      <c r="U3">
        <v>6.7420746410545851E-3</v>
      </c>
      <c r="V3">
        <v>0.14089893445656909</v>
      </c>
    </row>
    <row r="4" spans="1:36" x14ac:dyDescent="0.25">
      <c r="A4" t="s">
        <v>17</v>
      </c>
      <c r="B4">
        <v>15445049.15447649</v>
      </c>
      <c r="C4">
        <v>-1373702.574293809</v>
      </c>
      <c r="D4">
        <v>2339.7253821943741</v>
      </c>
      <c r="E4">
        <v>911.51333233332844</v>
      </c>
      <c r="F4">
        <v>655.58730051256134</v>
      </c>
      <c r="G4">
        <v>-4398.557661677507</v>
      </c>
      <c r="H4">
        <v>512868.29553195828</v>
      </c>
      <c r="I4">
        <v>-278.3756213796587</v>
      </c>
      <c r="J4">
        <v>-220.62208861179531</v>
      </c>
      <c r="K4">
        <v>-2811.235475324007</v>
      </c>
      <c r="L4">
        <v>2809.0479561227548</v>
      </c>
      <c r="M4">
        <v>2101.6476887028689</v>
      </c>
      <c r="N4">
        <v>-820.87077441482688</v>
      </c>
      <c r="O4">
        <v>1342.0560920668361</v>
      </c>
      <c r="P4">
        <v>-4559.3250950437214</v>
      </c>
      <c r="Q4">
        <v>511.76006895014137</v>
      </c>
      <c r="R4">
        <v>-1526.5825553540051</v>
      </c>
      <c r="S4">
        <v>7307.0389721825049</v>
      </c>
      <c r="T4">
        <v>759.95122241202625</v>
      </c>
      <c r="U4">
        <v>-1135.4607077697581</v>
      </c>
      <c r="V4">
        <v>3480.409598710743</v>
      </c>
    </row>
    <row r="5" spans="1:36" x14ac:dyDescent="0.25">
      <c r="A5" t="s">
        <v>18</v>
      </c>
      <c r="B5">
        <v>16050391.990455789</v>
      </c>
      <c r="C5">
        <v>-1681064.8226702251</v>
      </c>
      <c r="D5">
        <v>-83446.008690077462</v>
      </c>
      <c r="E5">
        <v>51609.148191187713</v>
      </c>
      <c r="F5">
        <v>-26575.758400303901</v>
      </c>
      <c r="G5">
        <v>7615.1704779307584</v>
      </c>
      <c r="H5">
        <v>646285.29512463138</v>
      </c>
      <c r="I5">
        <v>-242074.07834629199</v>
      </c>
      <c r="J5">
        <v>24614.041972245319</v>
      </c>
      <c r="K5">
        <v>-96911.27453376929</v>
      </c>
      <c r="L5">
        <v>60744.118188103334</v>
      </c>
      <c r="M5">
        <v>35624.795913566631</v>
      </c>
      <c r="N5">
        <v>-28628.937786523751</v>
      </c>
      <c r="O5">
        <v>14133.593142364731</v>
      </c>
      <c r="P5">
        <v>-22267.71597811014</v>
      </c>
      <c r="Q5">
        <v>30245.906106277838</v>
      </c>
      <c r="R5">
        <v>-41363.079478970663</v>
      </c>
      <c r="S5">
        <v>32960.086519611061</v>
      </c>
      <c r="T5">
        <v>18606.260549364401</v>
      </c>
      <c r="U5">
        <v>-14277.01259797815</v>
      </c>
      <c r="V5">
        <v>20276.02434607824</v>
      </c>
    </row>
    <row r="6" spans="1:36" x14ac:dyDescent="0.25">
      <c r="A6" t="s">
        <v>19</v>
      </c>
      <c r="B6">
        <v>-1608947196.893827</v>
      </c>
      <c r="C6">
        <v>134123001.2543864</v>
      </c>
      <c r="D6">
        <v>-39591343.207941271</v>
      </c>
      <c r="E6">
        <v>26373876.578564059</v>
      </c>
      <c r="F6">
        <v>-12128409.955715241</v>
      </c>
      <c r="G6">
        <v>39726390.157454766</v>
      </c>
      <c r="H6">
        <v>-56295878.244189739</v>
      </c>
      <c r="I6">
        <v>-90420739.354434758</v>
      </c>
      <c r="J6">
        <v>14792650.24206833</v>
      </c>
      <c r="K6">
        <v>-17410328.201659951</v>
      </c>
      <c r="L6">
        <v>71814329.620567113</v>
      </c>
      <c r="M6">
        <v>9744197.0426237807</v>
      </c>
      <c r="N6">
        <v>-15399037.68189094</v>
      </c>
      <c r="O6">
        <v>572199.65081400797</v>
      </c>
      <c r="P6">
        <v>7336321.5000735819</v>
      </c>
      <c r="Q6">
        <v>15912409.43229175</v>
      </c>
      <c r="R6">
        <v>-8463368.4075999036</v>
      </c>
      <c r="S6">
        <v>23396472.325238179</v>
      </c>
      <c r="T6">
        <v>3956299.3059659642</v>
      </c>
      <c r="U6">
        <v>-6601589.842083212</v>
      </c>
      <c r="V6">
        <v>-1013531.826433506</v>
      </c>
    </row>
    <row r="7" spans="1:36" x14ac:dyDescent="0.25">
      <c r="A7" t="s">
        <v>20</v>
      </c>
      <c r="B7">
        <v>1.6875</v>
      </c>
      <c r="C7">
        <v>-0.5625</v>
      </c>
      <c r="D7">
        <v>-0.21875</v>
      </c>
      <c r="E7">
        <v>-1.53125</v>
      </c>
      <c r="F7">
        <v>0.90625</v>
      </c>
      <c r="G7">
        <v>-0.34375</v>
      </c>
      <c r="H7">
        <v>-0.40625</v>
      </c>
      <c r="I7">
        <v>-0.6875</v>
      </c>
      <c r="J7">
        <v>-0.8125</v>
      </c>
      <c r="K7">
        <v>2.9375</v>
      </c>
      <c r="L7">
        <v>-1.8125</v>
      </c>
      <c r="M7">
        <v>0</v>
      </c>
      <c r="N7">
        <v>1</v>
      </c>
      <c r="O7">
        <v>-0.5</v>
      </c>
      <c r="P7">
        <v>0.625</v>
      </c>
      <c r="Q7">
        <v>3.125E-2</v>
      </c>
      <c r="R7">
        <v>-0.21875</v>
      </c>
      <c r="S7">
        <v>9.375E-2</v>
      </c>
      <c r="T7">
        <v>-0.59375</v>
      </c>
      <c r="U7">
        <v>0.40625</v>
      </c>
      <c r="V7">
        <v>-0.59375</v>
      </c>
    </row>
    <row r="8" spans="1:36" x14ac:dyDescent="0.25">
      <c r="A8" t="s">
        <v>21</v>
      </c>
      <c r="B8">
        <v>-0.67343749999999813</v>
      </c>
      <c r="C8">
        <v>-2.3437499999999559E-2</v>
      </c>
      <c r="D8">
        <v>7.8124999999997502E-3</v>
      </c>
      <c r="E8">
        <v>3.2812500000000022E-2</v>
      </c>
      <c r="F8">
        <v>-2.6562500000000041E-2</v>
      </c>
      <c r="G8">
        <v>-0.1484374999999995</v>
      </c>
      <c r="H8">
        <v>-0.26718750000000119</v>
      </c>
      <c r="I8">
        <v>0.23906249999999979</v>
      </c>
      <c r="J8">
        <v>-4.84374999999998E-2</v>
      </c>
      <c r="K8">
        <v>3.5937500000000622E-2</v>
      </c>
      <c r="L8">
        <v>-1.154687500000001</v>
      </c>
      <c r="M8">
        <v>-2.343749999999992E-2</v>
      </c>
      <c r="N8">
        <v>1.5625000000000779E-3</v>
      </c>
      <c r="O8">
        <v>-1.5624999999997451E-3</v>
      </c>
      <c r="P8">
        <v>1.406250000000045E-2</v>
      </c>
      <c r="Q8">
        <v>-1.7187499999999911E-2</v>
      </c>
      <c r="R8">
        <v>-1.562499999999994E-3</v>
      </c>
      <c r="S8">
        <v>-0.1671875000000001</v>
      </c>
      <c r="T8">
        <v>4.6875000000000666E-3</v>
      </c>
      <c r="U8">
        <v>2.6562500000000159E-2</v>
      </c>
      <c r="V8">
        <v>-0.1078125000000001</v>
      </c>
    </row>
    <row r="9" spans="1:36" x14ac:dyDescent="0.25">
      <c r="A9" t="s">
        <v>22</v>
      </c>
      <c r="B9">
        <v>-83.012394937313218</v>
      </c>
      <c r="C9">
        <v>-20.024342936754639</v>
      </c>
      <c r="D9">
        <v>-32.81856865317323</v>
      </c>
      <c r="E9">
        <v>22.89547068367256</v>
      </c>
      <c r="F9">
        <v>-18.49879050117142</v>
      </c>
      <c r="G9">
        <v>86.238465215124592</v>
      </c>
      <c r="H9">
        <v>-15.15648539609356</v>
      </c>
      <c r="I9">
        <v>-63.794182581680758</v>
      </c>
      <c r="J9">
        <v>13.1573480890374</v>
      </c>
      <c r="K9">
        <v>-37.641635185089832</v>
      </c>
      <c r="L9">
        <v>135.25951766839341</v>
      </c>
      <c r="M9">
        <v>6.5663333436412472</v>
      </c>
      <c r="N9">
        <v>-11.96709249774894</v>
      </c>
      <c r="O9">
        <v>2.4469297806580141</v>
      </c>
      <c r="P9">
        <v>21.052846947261681</v>
      </c>
      <c r="Q9">
        <v>13.59855606676954</v>
      </c>
      <c r="R9">
        <v>-16.94200694064989</v>
      </c>
      <c r="S9">
        <v>15.739359134093609</v>
      </c>
      <c r="T9">
        <v>5.3456840626806539</v>
      </c>
      <c r="U9">
        <v>-9.5722437506203235</v>
      </c>
      <c r="V9">
        <v>5.787955911248055</v>
      </c>
    </row>
    <row r="12" spans="1:36" ht="22.5" x14ac:dyDescent="0.3">
      <c r="A12" s="2" t="s">
        <v>214</v>
      </c>
    </row>
    <row r="13" spans="1:36" x14ac:dyDescent="0.25">
      <c r="A13" t="s">
        <v>159</v>
      </c>
      <c r="B13" t="s">
        <v>215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221</v>
      </c>
      <c r="I13" t="s">
        <v>222</v>
      </c>
      <c r="J13" t="s">
        <v>223</v>
      </c>
      <c r="K13" t="s">
        <v>224</v>
      </c>
      <c r="L13" t="s">
        <v>225</v>
      </c>
      <c r="M13" t="s">
        <v>226</v>
      </c>
      <c r="N13" t="s">
        <v>227</v>
      </c>
      <c r="O13" t="s">
        <v>228</v>
      </c>
      <c r="P13" t="s">
        <v>229</v>
      </c>
      <c r="Q13" t="s">
        <v>230</v>
      </c>
      <c r="R13" t="s">
        <v>231</v>
      </c>
      <c r="S13" t="s">
        <v>232</v>
      </c>
      <c r="T13" t="s">
        <v>233</v>
      </c>
      <c r="U13" t="s">
        <v>234</v>
      </c>
      <c r="V13" t="s">
        <v>235</v>
      </c>
      <c r="W13" t="s">
        <v>236</v>
      </c>
      <c r="X13" t="s">
        <v>237</v>
      </c>
      <c r="Y13" t="s">
        <v>238</v>
      </c>
      <c r="Z13" t="s">
        <v>239</v>
      </c>
      <c r="AA13" t="s">
        <v>240</v>
      </c>
      <c r="AB13" t="s">
        <v>241</v>
      </c>
      <c r="AC13" t="s">
        <v>242</v>
      </c>
      <c r="AD13" t="s">
        <v>243</v>
      </c>
      <c r="AE13" t="s">
        <v>244</v>
      </c>
      <c r="AF13" t="s">
        <v>245</v>
      </c>
      <c r="AG13" t="s">
        <v>246</v>
      </c>
      <c r="AH13" t="s">
        <v>247</v>
      </c>
      <c r="AI13" t="s">
        <v>248</v>
      </c>
      <c r="AJ13" t="s">
        <v>249</v>
      </c>
    </row>
    <row r="14" spans="1:36" x14ac:dyDescent="0.25">
      <c r="A14" t="s">
        <v>16</v>
      </c>
      <c r="B14">
        <v>0.19092829765848671</v>
      </c>
      <c r="C14">
        <v>0.99612300632369299</v>
      </c>
      <c r="D14">
        <v>-0.14103934981237631</v>
      </c>
      <c r="E14">
        <v>0.14345363067917591</v>
      </c>
      <c r="F14">
        <v>0.1238141679498779</v>
      </c>
      <c r="G14">
        <v>4.1751384712483082E-2</v>
      </c>
      <c r="H14">
        <v>0.1238146354976481</v>
      </c>
      <c r="I14">
        <v>2.0269955677446109E-2</v>
      </c>
      <c r="J14">
        <v>-3.322203705111354E-3</v>
      </c>
      <c r="K14">
        <v>-0.17918440901588689</v>
      </c>
      <c r="L14">
        <v>0.13541652099358101</v>
      </c>
      <c r="M14">
        <v>0.10776017859884141</v>
      </c>
      <c r="N14">
        <v>5.5100649494795477E-2</v>
      </c>
      <c r="O14">
        <v>0.13356742795694251</v>
      </c>
      <c r="P14">
        <v>-1.4396599098660199E-2</v>
      </c>
      <c r="Q14">
        <v>-0.1207461202649343</v>
      </c>
      <c r="R14">
        <v>3.7763531307915037E-2</v>
      </c>
      <c r="S14">
        <v>1.5624100608453369E-2</v>
      </c>
      <c r="T14">
        <v>-9.275133258127316E-2</v>
      </c>
      <c r="U14">
        <v>-0.47330266099739648</v>
      </c>
      <c r="V14">
        <v>0.33395518388224382</v>
      </c>
      <c r="W14">
        <v>0.52357982711392137</v>
      </c>
      <c r="X14">
        <v>3.7623897258928167E-2</v>
      </c>
      <c r="Y14">
        <v>-8.0926402454965518E-3</v>
      </c>
      <c r="Z14">
        <v>0.15461910874136531</v>
      </c>
      <c r="AA14">
        <v>0.13836900219265691</v>
      </c>
      <c r="AB14">
        <v>-5.0178651585397471E-3</v>
      </c>
      <c r="AC14">
        <v>-9.2372915809389333E-2</v>
      </c>
      <c r="AD14">
        <v>-1.253199349327949E-2</v>
      </c>
      <c r="AE14">
        <v>5.4101463043795261E-3</v>
      </c>
      <c r="AF14">
        <v>-1.2397634918837049E-2</v>
      </c>
      <c r="AG14">
        <v>4.5005009022505982E-3</v>
      </c>
      <c r="AH14">
        <v>-1.5746784568234331E-2</v>
      </c>
      <c r="AI14">
        <v>0.15629675473403781</v>
      </c>
      <c r="AJ14">
        <v>1.6425613614339859E-2</v>
      </c>
    </row>
    <row r="15" spans="1:36" x14ac:dyDescent="0.25">
      <c r="A15" t="s">
        <v>17</v>
      </c>
      <c r="B15">
        <v>1332782.3188223001</v>
      </c>
      <c r="C15">
        <v>2118.85526667464</v>
      </c>
      <c r="D15">
        <v>-1062.280646931235</v>
      </c>
      <c r="E15">
        <v>2045.8734895836969</v>
      </c>
      <c r="F15">
        <v>-3801.6125769303471</v>
      </c>
      <c r="G15">
        <v>1632.5112873728069</v>
      </c>
      <c r="H15">
        <v>-526.58572058900609</v>
      </c>
      <c r="I15">
        <v>761.68112596115679</v>
      </c>
      <c r="J15">
        <v>-3509.625085650448</v>
      </c>
      <c r="K15">
        <v>159.38163429325499</v>
      </c>
      <c r="L15">
        <v>458.03212751609681</v>
      </c>
      <c r="M15">
        <v>-1016.574422464168</v>
      </c>
      <c r="N15">
        <v>203.25903494851079</v>
      </c>
      <c r="O15">
        <v>-462.66210342329578</v>
      </c>
      <c r="P15">
        <v>-851.46302185833338</v>
      </c>
      <c r="Q15">
        <v>1370.719717829445</v>
      </c>
      <c r="R15">
        <v>59.480780878366197</v>
      </c>
      <c r="S15">
        <v>750.11237859717221</v>
      </c>
      <c r="T15">
        <v>-2970.64262953258</v>
      </c>
      <c r="U15">
        <v>-374.68029343696247</v>
      </c>
      <c r="V15">
        <v>-358.71724681476189</v>
      </c>
      <c r="W15">
        <v>2634.6235139468481</v>
      </c>
      <c r="X15">
        <v>-72.003371010563569</v>
      </c>
      <c r="Y15">
        <v>-73.813887928874465</v>
      </c>
      <c r="Z15">
        <v>2102.3289571032219</v>
      </c>
      <c r="AA15">
        <v>-286.59556781269202</v>
      </c>
      <c r="AB15">
        <v>206.84350832500789</v>
      </c>
      <c r="AC15">
        <v>-1140.123393777656</v>
      </c>
      <c r="AD15">
        <v>-312.0611332890403</v>
      </c>
      <c r="AE15">
        <v>518.44385567490826</v>
      </c>
      <c r="AF15">
        <v>-945.88997366596595</v>
      </c>
      <c r="AG15">
        <v>147.60441408520271</v>
      </c>
      <c r="AH15">
        <v>-406.58409562199091</v>
      </c>
      <c r="AI15">
        <v>469.43869831720082</v>
      </c>
      <c r="AJ15">
        <v>-303.56920387651189</v>
      </c>
    </row>
    <row r="16" spans="1:36" x14ac:dyDescent="0.25">
      <c r="A16" t="s">
        <v>18</v>
      </c>
      <c r="B16">
        <v>1617231.548134374</v>
      </c>
      <c r="C16">
        <v>-19005.897796691519</v>
      </c>
      <c r="D16">
        <v>-17199.656877587371</v>
      </c>
      <c r="E16">
        <v>-632.31620494240997</v>
      </c>
      <c r="F16">
        <v>-16876.73048049998</v>
      </c>
      <c r="G16">
        <v>11433.600216231111</v>
      </c>
      <c r="H16">
        <v>-17336.36147428854</v>
      </c>
      <c r="I16">
        <v>4841.8561895035346</v>
      </c>
      <c r="J16">
        <v>-11365.622209559449</v>
      </c>
      <c r="K16">
        <v>15366.5027505827</v>
      </c>
      <c r="L16">
        <v>-7967.139981074386</v>
      </c>
      <c r="M16">
        <v>2435.920147236036</v>
      </c>
      <c r="N16">
        <v>9764.0033126599519</v>
      </c>
      <c r="O16">
        <v>-6429.7475067182904</v>
      </c>
      <c r="P16">
        <v>-1285.9098555672861</v>
      </c>
      <c r="Q16">
        <v>4318.7500517903536</v>
      </c>
      <c r="R16">
        <v>6742.2516984237882</v>
      </c>
      <c r="S16">
        <v>1373.9680315630101</v>
      </c>
      <c r="T16">
        <v>-7941.485145649367</v>
      </c>
      <c r="U16">
        <v>6345.5451944845227</v>
      </c>
      <c r="V16">
        <v>-28590.36804567121</v>
      </c>
      <c r="W16">
        <v>20806.47040792078</v>
      </c>
      <c r="X16">
        <v>1266.7465654628829</v>
      </c>
      <c r="Y16">
        <v>1285.8276873286011</v>
      </c>
      <c r="Z16">
        <v>3926.5862312416248</v>
      </c>
      <c r="AA16">
        <v>-8800.7111644982469</v>
      </c>
      <c r="AB16">
        <v>4680.653616265754</v>
      </c>
      <c r="AC16">
        <v>-7055.3449455082664</v>
      </c>
      <c r="AD16">
        <v>-4872.9102936314384</v>
      </c>
      <c r="AE16">
        <v>5240.300746417277</v>
      </c>
      <c r="AF16">
        <v>-4262.655713719676</v>
      </c>
      <c r="AG16">
        <v>5599.306701599493</v>
      </c>
      <c r="AH16">
        <v>-4430.4101606447084</v>
      </c>
      <c r="AI16">
        <v>2670.5023836746991</v>
      </c>
      <c r="AJ16">
        <v>-1800.67915994949</v>
      </c>
    </row>
    <row r="17" spans="1:36" x14ac:dyDescent="0.25">
      <c r="A17" t="s">
        <v>19</v>
      </c>
      <c r="B17">
        <v>-152505137.1864228</v>
      </c>
      <c r="C17">
        <v>-22119835.5595304</v>
      </c>
      <c r="D17">
        <v>-9653339.349271547</v>
      </c>
      <c r="E17">
        <v>-5463309.3104851795</v>
      </c>
      <c r="F17">
        <v>15220702.99590381</v>
      </c>
      <c r="G17">
        <v>-14228.16278781742</v>
      </c>
      <c r="H17">
        <v>-7884377.9298721515</v>
      </c>
      <c r="I17">
        <v>-1625545.8078750779</v>
      </c>
      <c r="J17">
        <v>11345433.5212184</v>
      </c>
      <c r="K17">
        <v>5315385.7297251225</v>
      </c>
      <c r="L17">
        <v>-2161881.997645102</v>
      </c>
      <c r="M17">
        <v>8019483.8460717127</v>
      </c>
      <c r="N17">
        <v>1512937.4129381441</v>
      </c>
      <c r="O17">
        <v>-1244541.0501002411</v>
      </c>
      <c r="P17">
        <v>3240625.4451983529</v>
      </c>
      <c r="Q17">
        <v>-197952.32284214351</v>
      </c>
      <c r="R17">
        <v>2339290.5350539419</v>
      </c>
      <c r="S17">
        <v>-2178235.9812180512</v>
      </c>
      <c r="T17">
        <v>6211205.4565792978</v>
      </c>
      <c r="U17">
        <v>5666401.1670013666</v>
      </c>
      <c r="V17">
        <v>-10787234.22316804</v>
      </c>
      <c r="W17">
        <v>3464826.1757859509</v>
      </c>
      <c r="X17">
        <v>-251492.4957183041</v>
      </c>
      <c r="Y17">
        <v>852441.06246554479</v>
      </c>
      <c r="Z17">
        <v>-4981393.1646069624</v>
      </c>
      <c r="AA17">
        <v>-4784649.1295589507</v>
      </c>
      <c r="AB17">
        <v>218127.1396275833</v>
      </c>
      <c r="AC17">
        <v>-70772.85787076503</v>
      </c>
      <c r="AD17">
        <v>-797694.21800448373</v>
      </c>
      <c r="AE17">
        <v>1726363.064923804</v>
      </c>
      <c r="AF17">
        <v>724517.15853108093</v>
      </c>
      <c r="AG17">
        <v>495632.08692388242</v>
      </c>
      <c r="AH17">
        <v>-1040210.3826439379</v>
      </c>
      <c r="AI17">
        <v>-3828168.2079583178</v>
      </c>
      <c r="AJ17">
        <v>-1419221.051088762</v>
      </c>
    </row>
    <row r="18" spans="1:36" x14ac:dyDescent="0.25">
      <c r="A18" t="s">
        <v>20</v>
      </c>
      <c r="B18">
        <v>0.5</v>
      </c>
      <c r="C18">
        <v>-0.15625</v>
      </c>
      <c r="D18">
        <v>0.59375</v>
      </c>
      <c r="E18">
        <v>9.375E-2</v>
      </c>
      <c r="F18">
        <v>0.40625</v>
      </c>
      <c r="G18">
        <v>3.125E-2</v>
      </c>
      <c r="H18">
        <v>0.53125</v>
      </c>
      <c r="I18">
        <v>-9.375E-2</v>
      </c>
      <c r="J18">
        <v>0.21875</v>
      </c>
      <c r="K18">
        <v>6.25E-2</v>
      </c>
      <c r="L18">
        <v>-6.25E-2</v>
      </c>
      <c r="M18">
        <v>6.25E-2</v>
      </c>
      <c r="N18">
        <v>-0.3125</v>
      </c>
      <c r="O18">
        <v>0.25</v>
      </c>
      <c r="P18">
        <v>0</v>
      </c>
      <c r="Q18">
        <v>0</v>
      </c>
      <c r="R18">
        <v>-0.3125</v>
      </c>
      <c r="S18">
        <v>0</v>
      </c>
      <c r="T18">
        <v>0.1875</v>
      </c>
      <c r="U18">
        <v>-3.125E-2</v>
      </c>
      <c r="V18">
        <v>-0.21875</v>
      </c>
      <c r="W18">
        <v>3.125E-2</v>
      </c>
      <c r="X18">
        <v>-3.125E-2</v>
      </c>
      <c r="Y18">
        <v>-9.375E-2</v>
      </c>
      <c r="Z18">
        <v>-0.15625</v>
      </c>
      <c r="AA18">
        <v>-3.125E-2</v>
      </c>
      <c r="AB18">
        <v>-9.375E-2</v>
      </c>
      <c r="AC18">
        <v>3.125E-2</v>
      </c>
      <c r="AD18">
        <v>0.21875</v>
      </c>
      <c r="AE18">
        <v>-0.21875</v>
      </c>
      <c r="AF18">
        <v>0.21875</v>
      </c>
      <c r="AG18">
        <v>6.25E-2</v>
      </c>
      <c r="AH18">
        <v>-6.25E-2</v>
      </c>
      <c r="AI18">
        <v>0.125</v>
      </c>
      <c r="AJ18">
        <v>0</v>
      </c>
    </row>
    <row r="19" spans="1:36" x14ac:dyDescent="0.25">
      <c r="A19" t="s">
        <v>21</v>
      </c>
      <c r="B19">
        <v>-0.27968750000000098</v>
      </c>
      <c r="C19">
        <v>-6.0937499999999888E-2</v>
      </c>
      <c r="D19">
        <v>1.406249999999998E-2</v>
      </c>
      <c r="E19">
        <v>-3.2812500000000362E-2</v>
      </c>
      <c r="F19">
        <v>0.40781249999999969</v>
      </c>
      <c r="G19">
        <v>-4.6874999999999278E-3</v>
      </c>
      <c r="H19">
        <v>-1.718749999999997E-2</v>
      </c>
      <c r="I19">
        <v>-1.40624999999997E-2</v>
      </c>
      <c r="J19">
        <v>2.0312500000000119E-2</v>
      </c>
      <c r="K19">
        <v>1.5625000000000779E-3</v>
      </c>
      <c r="L19">
        <v>-1.4062500000000011E-2</v>
      </c>
      <c r="M19">
        <v>2.6562499999999989E-2</v>
      </c>
      <c r="N19">
        <v>1.7187499999999911E-2</v>
      </c>
      <c r="O19">
        <v>7.812499999999889E-3</v>
      </c>
      <c r="P19">
        <v>-3.2812499999999689E-2</v>
      </c>
      <c r="Q19">
        <v>-3.5937499999999983E-2</v>
      </c>
      <c r="R19">
        <v>2.65625000000001E-2</v>
      </c>
      <c r="S19">
        <v>-1.406249999999981E-2</v>
      </c>
      <c r="T19">
        <v>0.22656250000000031</v>
      </c>
      <c r="U19">
        <v>-2.9687499999999981E-2</v>
      </c>
      <c r="V19">
        <v>1.093750000000007E-2</v>
      </c>
      <c r="W19">
        <v>-0.21718749999999989</v>
      </c>
      <c r="X19">
        <v>-7.812500000000111E-3</v>
      </c>
      <c r="Y19">
        <v>3.9062499999999889E-2</v>
      </c>
      <c r="Z19">
        <v>-9.5312499999999911E-2</v>
      </c>
      <c r="AA19">
        <v>1.5624999999998561E-3</v>
      </c>
      <c r="AB19">
        <v>1.7187499999999991E-2</v>
      </c>
      <c r="AC19">
        <v>-4.6875000000000111E-3</v>
      </c>
      <c r="AD19">
        <v>-1.5625000000000779E-3</v>
      </c>
      <c r="AE19">
        <v>-1.0937499999999991E-2</v>
      </c>
      <c r="AF19">
        <v>4.6875000000003997E-3</v>
      </c>
      <c r="AG19">
        <v>1.093749999999971E-2</v>
      </c>
      <c r="AH19">
        <v>7.8125000000001665E-3</v>
      </c>
      <c r="AI19">
        <v>1.7187499999999831E-2</v>
      </c>
      <c r="AJ19">
        <v>4.6874999999998446E-3</v>
      </c>
    </row>
    <row r="20" spans="1:36" x14ac:dyDescent="0.25">
      <c r="A20" t="s">
        <v>22</v>
      </c>
      <c r="B20">
        <v>-21.946145158909928</v>
      </c>
      <c r="C20">
        <v>-24.308461145540772</v>
      </c>
      <c r="D20">
        <v>-7.003004174304408</v>
      </c>
      <c r="E20">
        <v>-8.4439551874154368</v>
      </c>
      <c r="F20">
        <v>39.322437879330408</v>
      </c>
      <c r="G20">
        <v>-1.419793115952718</v>
      </c>
      <c r="H20">
        <v>-6.4908198830807251</v>
      </c>
      <c r="I20">
        <v>-0.47905581774130113</v>
      </c>
      <c r="J20">
        <v>20.50161846463736</v>
      </c>
      <c r="K20">
        <v>4.2558958535093723</v>
      </c>
      <c r="L20">
        <v>-5.6438138490119982</v>
      </c>
      <c r="M20">
        <v>5.0255857394178172</v>
      </c>
      <c r="N20">
        <v>2.174873967115722</v>
      </c>
      <c r="O20">
        <v>-7.2204199281497452</v>
      </c>
      <c r="P20">
        <v>4.8762506430628676</v>
      </c>
      <c r="Q20">
        <v>0.85130603187042198</v>
      </c>
      <c r="R20">
        <v>3.2282771065072069</v>
      </c>
      <c r="S20">
        <v>-2.0727946124977912</v>
      </c>
      <c r="T20">
        <v>15.880563961581229</v>
      </c>
      <c r="U20">
        <v>9.5584061778947031</v>
      </c>
      <c r="V20">
        <v>-18.05155005095353</v>
      </c>
      <c r="W20">
        <v>-0.36158143789766578</v>
      </c>
      <c r="X20">
        <v>-1.2046675764436121</v>
      </c>
      <c r="Y20">
        <v>-0.56993975678128095</v>
      </c>
      <c r="Z20">
        <v>-0.88931924331514267</v>
      </c>
      <c r="AA20">
        <v>-3.9420159073379821</v>
      </c>
      <c r="AB20">
        <v>1.1655276113900539</v>
      </c>
      <c r="AC20">
        <v>-0.74283033630152673</v>
      </c>
      <c r="AD20">
        <v>-0.96155432738459723</v>
      </c>
      <c r="AE20">
        <v>2.914949686648391</v>
      </c>
      <c r="AF20">
        <v>0.19826131480650841</v>
      </c>
      <c r="AG20">
        <v>1.1762877498194759</v>
      </c>
      <c r="AH20">
        <v>-1.31128339099406</v>
      </c>
      <c r="AI20">
        <v>-4.1790535171172749</v>
      </c>
      <c r="AJ20">
        <v>-1.523878753826402</v>
      </c>
    </row>
    <row r="23" spans="1:36" ht="22.5" x14ac:dyDescent="0.3">
      <c r="A23" s="2" t="s">
        <v>250</v>
      </c>
    </row>
    <row r="24" spans="1:36" x14ac:dyDescent="0.25">
      <c r="A24" t="s">
        <v>159</v>
      </c>
      <c r="B24" t="s">
        <v>251</v>
      </c>
      <c r="C24" t="s">
        <v>252</v>
      </c>
      <c r="D24" t="s">
        <v>253</v>
      </c>
      <c r="E24" t="s">
        <v>254</v>
      </c>
      <c r="F24" t="s">
        <v>255</v>
      </c>
      <c r="G24" t="s">
        <v>256</v>
      </c>
      <c r="H24" t="s">
        <v>257</v>
      </c>
      <c r="I24" t="s">
        <v>258</v>
      </c>
      <c r="J24" t="s">
        <v>259</v>
      </c>
      <c r="K24" t="s">
        <v>260</v>
      </c>
      <c r="L24" t="s">
        <v>261</v>
      </c>
      <c r="M24" t="s">
        <v>262</v>
      </c>
      <c r="N24" t="s">
        <v>263</v>
      </c>
      <c r="O24" t="s">
        <v>264</v>
      </c>
      <c r="P24" t="s">
        <v>265</v>
      </c>
      <c r="Q24" t="s">
        <v>266</v>
      </c>
      <c r="R24" t="s">
        <v>267</v>
      </c>
      <c r="S24" t="s">
        <v>268</v>
      </c>
      <c r="T24" t="s">
        <v>269</v>
      </c>
      <c r="U24" t="s">
        <v>270</v>
      </c>
      <c r="V24" t="s">
        <v>271</v>
      </c>
      <c r="W24" t="s">
        <v>272</v>
      </c>
      <c r="X24" t="s">
        <v>273</v>
      </c>
      <c r="Y24" t="s">
        <v>274</v>
      </c>
      <c r="Z24" t="s">
        <v>275</v>
      </c>
      <c r="AA24" t="s">
        <v>276</v>
      </c>
      <c r="AB24" t="s">
        <v>277</v>
      </c>
      <c r="AC24" t="s">
        <v>278</v>
      </c>
      <c r="AD24" t="s">
        <v>279</v>
      </c>
      <c r="AE24" t="s">
        <v>280</v>
      </c>
      <c r="AF24" t="s">
        <v>281</v>
      </c>
      <c r="AG24" t="s">
        <v>282</v>
      </c>
      <c r="AH24" t="s">
        <v>283</v>
      </c>
      <c r="AI24" t="s">
        <v>284</v>
      </c>
      <c r="AJ24" t="s">
        <v>285</v>
      </c>
    </row>
    <row r="25" spans="1:36" x14ac:dyDescent="0.25">
      <c r="A25" t="s">
        <v>16</v>
      </c>
      <c r="B25">
        <v>9.7172708705346889E-2</v>
      </c>
      <c r="C25">
        <v>-6.9943955418785175E-2</v>
      </c>
      <c r="D25">
        <v>1.8503065155897499E-2</v>
      </c>
      <c r="E25">
        <v>1.3457409739369571E-2</v>
      </c>
      <c r="F25">
        <v>-0.15707145409607451</v>
      </c>
      <c r="G25">
        <v>0.14375770583119979</v>
      </c>
      <c r="H25">
        <v>4.6430155327638334E-3</v>
      </c>
      <c r="I25">
        <v>7.2884890253198442E-2</v>
      </c>
      <c r="J25">
        <v>0.13911633197215259</v>
      </c>
      <c r="K25">
        <v>-1.8596322270225951E-2</v>
      </c>
      <c r="L25">
        <v>1.504141891038022E-2</v>
      </c>
      <c r="M25">
        <v>1.419872009463252E-2</v>
      </c>
      <c r="N25">
        <v>1.309853261156077E-2</v>
      </c>
      <c r="O25">
        <v>-1.694333952623656E-2</v>
      </c>
      <c r="P25">
        <v>-2.042846797044923E-2</v>
      </c>
      <c r="Q25">
        <v>2.0624498525375901E-2</v>
      </c>
      <c r="R25">
        <v>6.6223999296436215E-2</v>
      </c>
      <c r="S25">
        <v>0.1078174449694657</v>
      </c>
      <c r="T25">
        <v>4.0487909563463598E-4</v>
      </c>
      <c r="U25">
        <v>5.549960104273155E-2</v>
      </c>
      <c r="V25">
        <v>7.1813516167745034E-2</v>
      </c>
      <c r="W25">
        <v>4.9121906231114898E-3</v>
      </c>
      <c r="X25">
        <v>-4.9866752154209493E-2</v>
      </c>
      <c r="Y25">
        <v>-1.495179079355219E-2</v>
      </c>
      <c r="Z25">
        <v>3.8192023479076131E-3</v>
      </c>
      <c r="AA25">
        <v>-1.037378125679228E-2</v>
      </c>
      <c r="AB25">
        <v>1.9328181826531819E-2</v>
      </c>
      <c r="AC25">
        <v>5.7471715338207469E-2</v>
      </c>
      <c r="AD25">
        <v>0.12760392315533611</v>
      </c>
      <c r="AE25">
        <v>2.149638865961423E-2</v>
      </c>
      <c r="AF25">
        <v>-1.242561028800185E-2</v>
      </c>
      <c r="AG25">
        <v>1.4381588549014919E-2</v>
      </c>
      <c r="AH25">
        <v>8.4674774210605763E-3</v>
      </c>
      <c r="AI25">
        <v>-4.3503387569597263E-3</v>
      </c>
      <c r="AJ25">
        <v>-4.4483655942131051E-3</v>
      </c>
    </row>
    <row r="26" spans="1:36" x14ac:dyDescent="0.25">
      <c r="A26" t="s">
        <v>17</v>
      </c>
      <c r="B26">
        <v>1046.339040442384</v>
      </c>
      <c r="C26">
        <v>196.77079393542951</v>
      </c>
      <c r="D26">
        <v>355.09330497836339</v>
      </c>
      <c r="E26">
        <v>-2159.6427713071171</v>
      </c>
      <c r="F26">
        <v>-650.27421919965127</v>
      </c>
      <c r="G26">
        <v>1386.672267710775</v>
      </c>
      <c r="H26">
        <v>-2454.366344553579</v>
      </c>
      <c r="I26">
        <v>-515.89522375600063</v>
      </c>
      <c r="J26">
        <v>514.0203267581237</v>
      </c>
      <c r="K26">
        <v>-1657.1653395103931</v>
      </c>
      <c r="L26">
        <v>-75.321955094361329</v>
      </c>
      <c r="M26">
        <v>201.76775023022489</v>
      </c>
      <c r="N26">
        <v>-943.37277616806387</v>
      </c>
      <c r="O26">
        <v>-43.735266546631458</v>
      </c>
      <c r="P26">
        <v>408.52638704571291</v>
      </c>
      <c r="Q26">
        <v>-695.25493671270669</v>
      </c>
      <c r="R26">
        <v>106.4553847643983</v>
      </c>
      <c r="S26">
        <v>-288.70556015327747</v>
      </c>
      <c r="T26">
        <v>-296.44055689098599</v>
      </c>
      <c r="U26">
        <v>-110.07208003985581</v>
      </c>
      <c r="V26">
        <v>65.459903772672988</v>
      </c>
      <c r="W26">
        <v>-38.057239481524448</v>
      </c>
      <c r="X26">
        <v>-1194.605565086604</v>
      </c>
      <c r="Y26">
        <v>-127.56901665081389</v>
      </c>
      <c r="Z26">
        <v>-128.232937046123</v>
      </c>
      <c r="AA26">
        <v>-486.30418372494751</v>
      </c>
      <c r="AB26">
        <v>-268.6837106328021</v>
      </c>
      <c r="AC26">
        <v>315.29356321338861</v>
      </c>
      <c r="AD26">
        <v>-520.39784155129746</v>
      </c>
      <c r="AE26">
        <v>246.49328513644289</v>
      </c>
      <c r="AF26">
        <v>102.582539787938</v>
      </c>
      <c r="AG26">
        <v>53.363961313545587</v>
      </c>
      <c r="AH26">
        <v>-169.01043311865939</v>
      </c>
      <c r="AI26">
        <v>8.7327058665978257</v>
      </c>
      <c r="AJ26">
        <v>-199.89534314769841</v>
      </c>
    </row>
    <row r="27" spans="1:36" x14ac:dyDescent="0.25">
      <c r="A27" t="s">
        <v>18</v>
      </c>
      <c r="B27">
        <v>-9286.5508541614145</v>
      </c>
      <c r="C27">
        <v>13053.043642957489</v>
      </c>
      <c r="D27">
        <v>-3168.3574868412361</v>
      </c>
      <c r="E27">
        <v>-2114.8692580772149</v>
      </c>
      <c r="F27">
        <v>-6063.7594645176396</v>
      </c>
      <c r="G27">
        <v>429.70231177880117</v>
      </c>
      <c r="H27">
        <v>-4847.9420280181293</v>
      </c>
      <c r="I27">
        <v>-5664.6251033806839</v>
      </c>
      <c r="J27">
        <v>7302.3548568452461</v>
      </c>
      <c r="K27">
        <v>-9147.6458300424092</v>
      </c>
      <c r="L27">
        <v>-5589.7429710559554</v>
      </c>
      <c r="M27">
        <v>2313.2010726463518</v>
      </c>
      <c r="N27">
        <v>-4038.1204200947759</v>
      </c>
      <c r="O27">
        <v>-2983.8329961746858</v>
      </c>
      <c r="P27">
        <v>3480.0367163961419</v>
      </c>
      <c r="Q27">
        <v>-2472.688248355455</v>
      </c>
      <c r="R27">
        <v>2888.8719337428452</v>
      </c>
      <c r="S27">
        <v>-1900.9727363954589</v>
      </c>
      <c r="T27">
        <v>-829.43156701422413</v>
      </c>
      <c r="U27">
        <v>-549.29344731940364</v>
      </c>
      <c r="V27">
        <v>2102.2932851619662</v>
      </c>
      <c r="W27">
        <v>434.84488753496038</v>
      </c>
      <c r="X27">
        <v>-2732.2467634597779</v>
      </c>
      <c r="Y27">
        <v>1995.902413433716</v>
      </c>
      <c r="Z27">
        <v>-1472.476463362829</v>
      </c>
      <c r="AA27">
        <v>-924.35567046048891</v>
      </c>
      <c r="AB27">
        <v>-142.28872431475969</v>
      </c>
      <c r="AC27">
        <v>946.90798613525112</v>
      </c>
      <c r="AD27">
        <v>-2121.8948716921441</v>
      </c>
      <c r="AE27">
        <v>1537.389547593732</v>
      </c>
      <c r="AF27">
        <v>-1522.70240328967</v>
      </c>
      <c r="AG27">
        <v>1947.962122307028</v>
      </c>
      <c r="AH27">
        <v>-1115.2254885741279</v>
      </c>
      <c r="AI27">
        <v>882.23819867592829</v>
      </c>
      <c r="AJ27">
        <v>-528.79457403328706</v>
      </c>
    </row>
    <row r="28" spans="1:36" x14ac:dyDescent="0.25">
      <c r="A28" t="s">
        <v>19</v>
      </c>
      <c r="B28">
        <v>-6376449.0027875677</v>
      </c>
      <c r="C28">
        <v>6900698.772615429</v>
      </c>
      <c r="D28">
        <v>-2238850.8846444669</v>
      </c>
      <c r="E28">
        <v>6582955.2989654765</v>
      </c>
      <c r="F28">
        <v>-3608204.004705667</v>
      </c>
      <c r="G28">
        <v>-5342044.1717970744</v>
      </c>
      <c r="H28">
        <v>8668454.5900626257</v>
      </c>
      <c r="I28">
        <v>-1971711.932648089</v>
      </c>
      <c r="J28">
        <v>4649185.5461196043</v>
      </c>
      <c r="K28">
        <v>1866267.2105451261</v>
      </c>
      <c r="L28">
        <v>-2623289.2758354251</v>
      </c>
      <c r="M28">
        <v>-297976.04161346698</v>
      </c>
      <c r="N28">
        <v>2605984.7901896909</v>
      </c>
      <c r="O28">
        <v>189596.82773344591</v>
      </c>
      <c r="P28">
        <v>456420.48382388428</v>
      </c>
      <c r="Q28">
        <v>2188702.0872267671</v>
      </c>
      <c r="R28">
        <v>-323042.59898738557</v>
      </c>
      <c r="S28">
        <v>1786567.108846426</v>
      </c>
      <c r="T28">
        <v>-593755.33426877111</v>
      </c>
      <c r="U28">
        <v>-1079520.068000037</v>
      </c>
      <c r="V28">
        <v>926307.32549908757</v>
      </c>
      <c r="W28">
        <v>109312.8322920725</v>
      </c>
      <c r="X28">
        <v>642461.34888321906</v>
      </c>
      <c r="Y28">
        <v>400762.77016641572</v>
      </c>
      <c r="Z28">
        <v>-130514.281429451</v>
      </c>
      <c r="AA28">
        <v>1625367.721531976</v>
      </c>
      <c r="AB28">
        <v>830620.92259950936</v>
      </c>
      <c r="AC28">
        <v>-2387316.0538318162</v>
      </c>
      <c r="AD28">
        <v>263153.73957142979</v>
      </c>
      <c r="AE28">
        <v>-14448.740835834289</v>
      </c>
      <c r="AF28">
        <v>-642505.11828069389</v>
      </c>
      <c r="AG28">
        <v>-44367.02220800519</v>
      </c>
      <c r="AH28">
        <v>-399970.58036761731</v>
      </c>
      <c r="AI28">
        <v>581692.71782582626</v>
      </c>
      <c r="AJ28">
        <v>194520.6551595479</v>
      </c>
    </row>
    <row r="29" spans="1:36" x14ac:dyDescent="0.25">
      <c r="A29" t="s">
        <v>20</v>
      </c>
      <c r="B29">
        <v>3.125E-2</v>
      </c>
      <c r="C29">
        <v>-0.40625</v>
      </c>
      <c r="D29">
        <v>3.125E-2</v>
      </c>
      <c r="E29">
        <v>0.15625</v>
      </c>
      <c r="F29">
        <v>0</v>
      </c>
      <c r="G29">
        <v>-6.25E-2</v>
      </c>
      <c r="H29">
        <v>0</v>
      </c>
      <c r="I29">
        <v>0.125</v>
      </c>
      <c r="J29">
        <v>-0.125</v>
      </c>
      <c r="K29">
        <v>0.3125</v>
      </c>
      <c r="L29">
        <v>0</v>
      </c>
      <c r="M29">
        <v>-6.25E-2</v>
      </c>
      <c r="N29">
        <v>0</v>
      </c>
      <c r="O29">
        <v>0.125</v>
      </c>
      <c r="P29">
        <v>-0.125</v>
      </c>
      <c r="Q29">
        <v>0.1875</v>
      </c>
      <c r="R29">
        <v>-3.125E-2</v>
      </c>
      <c r="S29">
        <v>-9.375E-2</v>
      </c>
      <c r="T29">
        <v>-3.125E-2</v>
      </c>
      <c r="U29">
        <v>9.375E-2</v>
      </c>
      <c r="V29">
        <v>-3.125E-2</v>
      </c>
      <c r="W29">
        <v>-3.125E-2</v>
      </c>
      <c r="X29">
        <v>3.125E-2</v>
      </c>
      <c r="Y29">
        <v>-0.15625</v>
      </c>
      <c r="Z29">
        <v>9.375E-2</v>
      </c>
      <c r="AA29">
        <v>-3.125E-2</v>
      </c>
      <c r="AB29">
        <v>6.25E-2</v>
      </c>
      <c r="AC29">
        <v>0</v>
      </c>
      <c r="AD29">
        <v>0.125</v>
      </c>
      <c r="AE29">
        <v>-6.25E-2</v>
      </c>
      <c r="AF29">
        <v>0</v>
      </c>
      <c r="AG29">
        <v>6.25E-2</v>
      </c>
      <c r="AH29">
        <v>6.25E-2</v>
      </c>
      <c r="AI29">
        <v>0</v>
      </c>
      <c r="AJ29">
        <v>-3.125E-2</v>
      </c>
    </row>
    <row r="30" spans="1:36" x14ac:dyDescent="0.25">
      <c r="A30" t="s">
        <v>21</v>
      </c>
      <c r="B30">
        <v>-1.7187499999999991E-2</v>
      </c>
      <c r="C30">
        <v>7.8125000000000555E-3</v>
      </c>
      <c r="D30">
        <v>-2.656249999999977E-2</v>
      </c>
      <c r="E30">
        <v>0.23281250000000009</v>
      </c>
      <c r="F30">
        <v>-1.0937499999999991E-2</v>
      </c>
      <c r="G30">
        <v>-1.5624999999999389E-3</v>
      </c>
      <c r="H30">
        <v>7.6562499999999811E-2</v>
      </c>
      <c r="I30">
        <v>4.6874999999999556E-3</v>
      </c>
      <c r="J30">
        <v>2.0312499999999841E-2</v>
      </c>
      <c r="K30">
        <v>-2.0312500000000181E-2</v>
      </c>
      <c r="L30">
        <v>-1.0937499999999821E-2</v>
      </c>
      <c r="M30">
        <v>-1.406249999999995E-2</v>
      </c>
      <c r="N30">
        <v>-1.7187500000000081E-2</v>
      </c>
      <c r="O30">
        <v>-7.8124999999998326E-3</v>
      </c>
      <c r="P30">
        <v>-1.0937499999999991E-2</v>
      </c>
      <c r="Q30">
        <v>1.093750000000027E-2</v>
      </c>
      <c r="R30">
        <v>4.6875000000000111E-3</v>
      </c>
      <c r="S30">
        <v>2.031250000000007E-2</v>
      </c>
      <c r="T30">
        <v>-2.6562499999999961E-2</v>
      </c>
      <c r="U30">
        <v>1.0937500000000039E-2</v>
      </c>
      <c r="V30">
        <v>7.8124999999999436E-3</v>
      </c>
      <c r="W30">
        <v>-1.56250000000005E-3</v>
      </c>
      <c r="X30">
        <v>1.5624999999999669E-3</v>
      </c>
      <c r="Y30">
        <v>1.7187500000000081E-2</v>
      </c>
      <c r="Z30">
        <v>-4.6875000000000111E-3</v>
      </c>
      <c r="AA30">
        <v>1.0937500000000161E-2</v>
      </c>
      <c r="AB30">
        <v>4.6874999999998446E-3</v>
      </c>
      <c r="AC30">
        <v>-2.3437499999999941E-2</v>
      </c>
      <c r="AD30">
        <v>2.3437499999999809E-2</v>
      </c>
      <c r="AE30">
        <v>-1.5624999999997999E-3</v>
      </c>
      <c r="AF30">
        <v>4.6875000000001221E-3</v>
      </c>
      <c r="AG30">
        <v>-4.6874999999999556E-3</v>
      </c>
      <c r="AH30">
        <v>4.6874999999999278E-3</v>
      </c>
      <c r="AI30">
        <v>4.6874999999999001E-3</v>
      </c>
      <c r="AJ30">
        <v>1.7187500000000189E-2</v>
      </c>
    </row>
    <row r="31" spans="1:36" x14ac:dyDescent="0.25">
      <c r="A31" t="s">
        <v>22</v>
      </c>
      <c r="B31">
        <v>-4.644012869450119</v>
      </c>
      <c r="C31">
        <v>6.1969313402056656</v>
      </c>
      <c r="D31">
        <v>-2.2759803554530258</v>
      </c>
      <c r="E31">
        <v>12.18864649788109</v>
      </c>
      <c r="F31">
        <v>1.0606637744794369</v>
      </c>
      <c r="G31">
        <v>-7.8966022725965814</v>
      </c>
      <c r="H31">
        <v>1.1434240613874671</v>
      </c>
      <c r="I31">
        <v>-3.3698899868667671</v>
      </c>
      <c r="J31">
        <v>6.2325376870845162E-2</v>
      </c>
      <c r="K31">
        <v>1.958645151692991</v>
      </c>
      <c r="L31">
        <v>-1.1595822030967471</v>
      </c>
      <c r="M31">
        <v>-0.35973447296851191</v>
      </c>
      <c r="N31">
        <v>-0.60618213793940257</v>
      </c>
      <c r="O31">
        <v>-0.15415020822204181</v>
      </c>
      <c r="P31">
        <v>1.9274121790254739</v>
      </c>
      <c r="Q31">
        <v>4.2233513658281652E-2</v>
      </c>
      <c r="R31">
        <v>-0.60938537646246616</v>
      </c>
      <c r="S31">
        <v>-1.762165516524409</v>
      </c>
      <c r="T31">
        <v>-1.0729764523158709</v>
      </c>
      <c r="U31">
        <v>-1.850389229428806</v>
      </c>
      <c r="V31">
        <v>-0.67380344163974115</v>
      </c>
      <c r="W31">
        <v>0.31898134492904262</v>
      </c>
      <c r="X31">
        <v>1.978543409753033</v>
      </c>
      <c r="Y31">
        <v>0.95934063796030955</v>
      </c>
      <c r="Z31">
        <v>-1.440954770778305</v>
      </c>
      <c r="AA31">
        <v>1.709893626477893</v>
      </c>
      <c r="AB31">
        <v>0.60267750775993179</v>
      </c>
      <c r="AC31">
        <v>-0.69407114318891772</v>
      </c>
      <c r="AD31">
        <v>-1.5646455234473109</v>
      </c>
      <c r="AE31">
        <v>0.33185950130938119</v>
      </c>
      <c r="AF31">
        <v>-6.8581754063668399E-2</v>
      </c>
      <c r="AG31">
        <v>0.95675494732169497</v>
      </c>
      <c r="AH31">
        <v>-0.92813216296633527</v>
      </c>
      <c r="AI31">
        <v>0.2423523580653395</v>
      </c>
      <c r="AJ31">
        <v>0.82575128448669588</v>
      </c>
    </row>
    <row r="34" spans="1:22" ht="22.5" x14ac:dyDescent="0.3">
      <c r="A34" s="2" t="s">
        <v>286</v>
      </c>
    </row>
    <row r="35" spans="1:22" x14ac:dyDescent="0.25">
      <c r="A35" t="s">
        <v>159</v>
      </c>
      <c r="B35" t="s">
        <v>287</v>
      </c>
      <c r="C35" t="s">
        <v>288</v>
      </c>
      <c r="D35" t="s">
        <v>289</v>
      </c>
      <c r="E35" t="s">
        <v>290</v>
      </c>
      <c r="F35" t="s">
        <v>291</v>
      </c>
      <c r="G35" t="s">
        <v>292</v>
      </c>
      <c r="H35" t="s">
        <v>293</v>
      </c>
      <c r="I35" t="s">
        <v>294</v>
      </c>
      <c r="J35" t="s">
        <v>295</v>
      </c>
      <c r="K35" t="s">
        <v>296</v>
      </c>
      <c r="L35" t="s">
        <v>297</v>
      </c>
      <c r="M35" t="s">
        <v>298</v>
      </c>
      <c r="N35" t="s">
        <v>299</v>
      </c>
      <c r="O35" t="s">
        <v>300</v>
      </c>
      <c r="P35" t="s">
        <v>301</v>
      </c>
      <c r="Q35" t="s">
        <v>302</v>
      </c>
      <c r="R35" t="s">
        <v>303</v>
      </c>
      <c r="S35" t="s">
        <v>304</v>
      </c>
      <c r="T35" t="s">
        <v>305</v>
      </c>
      <c r="U35" t="s">
        <v>306</v>
      </c>
      <c r="V35" t="s">
        <v>307</v>
      </c>
    </row>
    <row r="36" spans="1:22" x14ac:dyDescent="0.25">
      <c r="A36" t="s">
        <v>16</v>
      </c>
      <c r="B36">
        <v>-4.693455624719492E-2</v>
      </c>
      <c r="C36">
        <v>2.16878876008571E-2</v>
      </c>
      <c r="D36">
        <v>2.2274421604322109E-2</v>
      </c>
      <c r="E36">
        <v>-1.0877816245836719E-2</v>
      </c>
      <c r="F36">
        <v>-4.2024906430532361E-2</v>
      </c>
      <c r="G36">
        <v>3.6218561319919407E-2</v>
      </c>
      <c r="H36">
        <v>7.4310475312710539E-2</v>
      </c>
      <c r="I36">
        <v>0.17687614233844301</v>
      </c>
      <c r="J36">
        <v>-2.2892155117319901E-2</v>
      </c>
      <c r="K36">
        <v>6.9720449614701308E-2</v>
      </c>
      <c r="L36">
        <v>-5.3894050871408916E-3</v>
      </c>
      <c r="M36">
        <v>-1.8563274607696328E-2</v>
      </c>
      <c r="N36">
        <v>3.6192690401237522E-2</v>
      </c>
      <c r="O36">
        <v>-8.6612831488537267E-3</v>
      </c>
      <c r="P36">
        <v>3.4946121194129397E-2</v>
      </c>
      <c r="Q36">
        <v>-2.927493087989733E-2</v>
      </c>
      <c r="R36">
        <v>-9.8458787374346157E-3</v>
      </c>
      <c r="S36">
        <v>9.5219358708004131E-4</v>
      </c>
      <c r="T36">
        <v>-5.8594771867197526E-3</v>
      </c>
      <c r="U36">
        <v>3.3796442269231901E-3</v>
      </c>
      <c r="V36">
        <v>-4.7639789988513648E-3</v>
      </c>
    </row>
    <row r="37" spans="1:22" x14ac:dyDescent="0.25">
      <c r="A37" t="s">
        <v>17</v>
      </c>
      <c r="B37">
        <v>208.08834601750999</v>
      </c>
      <c r="C37">
        <v>46.941813311379519</v>
      </c>
      <c r="D37">
        <v>-1011.217934590197</v>
      </c>
      <c r="E37">
        <v>75.44953876719228</v>
      </c>
      <c r="F37">
        <v>-200.01171872965639</v>
      </c>
      <c r="G37">
        <v>-338.56434180881479</v>
      </c>
      <c r="H37">
        <v>-280.37982854591968</v>
      </c>
      <c r="I37">
        <v>412.93038812822488</v>
      </c>
      <c r="J37">
        <v>-1069.613540920385</v>
      </c>
      <c r="K37">
        <v>412.18908253058908</v>
      </c>
      <c r="L37">
        <v>111.9310440786212</v>
      </c>
      <c r="M37">
        <v>181.82749919201891</v>
      </c>
      <c r="N37">
        <v>-73.112197717986419</v>
      </c>
      <c r="O37">
        <v>96.440237324481132</v>
      </c>
      <c r="P37">
        <v>-38.193378546871827</v>
      </c>
      <c r="Q37">
        <v>217.08128657210909</v>
      </c>
      <c r="R37">
        <v>-206.03184897040771</v>
      </c>
      <c r="S37">
        <v>88.051587405512691</v>
      </c>
      <c r="T37">
        <v>-330.21381003045832</v>
      </c>
      <c r="U37">
        <v>153.25313695588559</v>
      </c>
      <c r="V37">
        <v>17.309266874348399</v>
      </c>
    </row>
    <row r="38" spans="1:22" x14ac:dyDescent="0.25">
      <c r="A38" t="s">
        <v>18</v>
      </c>
      <c r="B38">
        <v>3854.096208179883</v>
      </c>
      <c r="C38">
        <v>-388.62640372784881</v>
      </c>
      <c r="D38">
        <v>-1327.057189854015</v>
      </c>
      <c r="E38">
        <v>2591.9597635277241</v>
      </c>
      <c r="F38">
        <v>-2070.3023286010498</v>
      </c>
      <c r="G38">
        <v>-581.61701158627329</v>
      </c>
      <c r="H38">
        <v>-2207.5832762857431</v>
      </c>
      <c r="I38">
        <v>2854.3895918301132</v>
      </c>
      <c r="J38">
        <v>-3352.8629170080821</v>
      </c>
      <c r="K38">
        <v>2552.2427769956271</v>
      </c>
      <c r="L38">
        <v>-1013.730242180874</v>
      </c>
      <c r="M38">
        <v>1448.472726604276</v>
      </c>
      <c r="N38">
        <v>-1318.599863048119</v>
      </c>
      <c r="O38">
        <v>526.69701689649082</v>
      </c>
      <c r="P38">
        <v>-162.83757997782229</v>
      </c>
      <c r="Q38">
        <v>807.98213266062885</v>
      </c>
      <c r="R38">
        <v>-386.59249628904217</v>
      </c>
      <c r="S38">
        <v>54.825663486146368</v>
      </c>
      <c r="T38">
        <v>-196.2969155585306</v>
      </c>
      <c r="U38">
        <v>685.71856534043764</v>
      </c>
      <c r="V38">
        <v>603.2840298956944</v>
      </c>
    </row>
    <row r="39" spans="1:22" x14ac:dyDescent="0.25">
      <c r="A39" t="s">
        <v>19</v>
      </c>
      <c r="B39">
        <v>2221105.467400223</v>
      </c>
      <c r="C39">
        <v>180937.4778014496</v>
      </c>
      <c r="D39">
        <v>1474429.1455665161</v>
      </c>
      <c r="E39">
        <v>741485.79662413523</v>
      </c>
      <c r="F39">
        <v>-525282.22435199097</v>
      </c>
      <c r="G39">
        <v>2074576.2667932319</v>
      </c>
      <c r="H39">
        <v>284508.95841519529</v>
      </c>
      <c r="I39">
        <v>-287470.47521340853</v>
      </c>
      <c r="J39">
        <v>4287788.9616230354</v>
      </c>
      <c r="K39">
        <v>474601.14750190452</v>
      </c>
      <c r="L39">
        <v>-7493.4893506914377</v>
      </c>
      <c r="M39">
        <v>-411355.38200357562</v>
      </c>
      <c r="N39">
        <v>217004.72470157591</v>
      </c>
      <c r="O39">
        <v>665140.69449040666</v>
      </c>
      <c r="P39">
        <v>454919.90838806331</v>
      </c>
      <c r="Q39">
        <v>-793308.19117470086</v>
      </c>
      <c r="R39">
        <v>170647.26098683479</v>
      </c>
      <c r="S39">
        <v>-559677.35135883838</v>
      </c>
      <c r="T39">
        <v>-97129.09697991237</v>
      </c>
      <c r="U39">
        <v>-919338.20779962838</v>
      </c>
      <c r="V39">
        <v>19199.82152359188</v>
      </c>
    </row>
    <row r="40" spans="1:22" x14ac:dyDescent="0.25">
      <c r="A40" t="s">
        <v>20</v>
      </c>
      <c r="B40">
        <v>0</v>
      </c>
      <c r="C40">
        <v>0</v>
      </c>
      <c r="D40">
        <v>0</v>
      </c>
      <c r="E40">
        <v>-0.125</v>
      </c>
      <c r="F40">
        <v>6.25E-2</v>
      </c>
      <c r="G40">
        <v>6.25E-2</v>
      </c>
      <c r="H40">
        <v>-3.125E-2</v>
      </c>
      <c r="I40">
        <v>-3.125E-2</v>
      </c>
      <c r="J40">
        <v>-3.125E-2</v>
      </c>
      <c r="K40">
        <v>-9.375E-2</v>
      </c>
      <c r="L40">
        <v>3.125E-2</v>
      </c>
      <c r="M40">
        <v>3.125E-2</v>
      </c>
      <c r="N40">
        <v>3.125E-2</v>
      </c>
      <c r="O40">
        <v>-3.125E-2</v>
      </c>
      <c r="P40">
        <v>6.25E-2</v>
      </c>
      <c r="Q40">
        <v>-6.25E-2</v>
      </c>
      <c r="R40">
        <v>6.25E-2</v>
      </c>
      <c r="S40">
        <v>0</v>
      </c>
      <c r="T40">
        <v>-0.125</v>
      </c>
      <c r="U40">
        <v>-3.125E-2</v>
      </c>
      <c r="V40">
        <v>-3.125E-2</v>
      </c>
    </row>
    <row r="41" spans="1:22" x14ac:dyDescent="0.25">
      <c r="A41" t="s">
        <v>21</v>
      </c>
      <c r="B41">
        <v>-4.6874999999997344E-3</v>
      </c>
      <c r="C41">
        <v>-3.2812499999999988E-2</v>
      </c>
      <c r="D41">
        <v>-1.09375000000001E-2</v>
      </c>
      <c r="E41">
        <v>1.093750000000032E-2</v>
      </c>
      <c r="F41">
        <v>-4.6875000000000111E-3</v>
      </c>
      <c r="G41">
        <v>1.7187500000000019E-2</v>
      </c>
      <c r="H41">
        <v>-1.5624999999998561E-3</v>
      </c>
      <c r="I41">
        <v>-1.0937500000000039E-2</v>
      </c>
      <c r="J41">
        <v>-2.031249999999998E-2</v>
      </c>
      <c r="K41">
        <v>4.6875000000001776E-3</v>
      </c>
      <c r="L41">
        <v>4.6875000000001776E-3</v>
      </c>
      <c r="M41">
        <v>-2.343750000000017E-2</v>
      </c>
      <c r="N41">
        <v>1.7187499999999939E-2</v>
      </c>
      <c r="O41">
        <v>-7.8125000000001665E-3</v>
      </c>
      <c r="P41">
        <v>4.6874999999999556E-3</v>
      </c>
      <c r="Q41">
        <v>4.6875000000000111E-3</v>
      </c>
      <c r="R41">
        <v>7.812500000000222E-3</v>
      </c>
      <c r="S41">
        <v>4.6874999999999278E-3</v>
      </c>
      <c r="T41">
        <v>4.6875000000000111E-3</v>
      </c>
      <c r="U41">
        <v>1.7187500000000189E-2</v>
      </c>
      <c r="V41">
        <v>4.6874999999999556E-3</v>
      </c>
    </row>
    <row r="42" spans="1:22" x14ac:dyDescent="0.25">
      <c r="A42" t="s">
        <v>22</v>
      </c>
      <c r="B42">
        <v>1.580061504957698</v>
      </c>
      <c r="C42">
        <v>-0.58035655031317646</v>
      </c>
      <c r="D42">
        <v>1.2919411348736141</v>
      </c>
      <c r="E42">
        <v>0.87563537472759378</v>
      </c>
      <c r="F42">
        <v>-1.2074329485008231</v>
      </c>
      <c r="G42">
        <v>0.13291886831673591</v>
      </c>
      <c r="H42">
        <v>-0.71435093919798121</v>
      </c>
      <c r="I42">
        <v>-1.6865740622181169</v>
      </c>
      <c r="J42">
        <v>2.408855289519757</v>
      </c>
      <c r="K42">
        <v>-0.36995863175438609</v>
      </c>
      <c r="L42">
        <v>0.1108868070999556</v>
      </c>
      <c r="M42">
        <v>0.77321467033923241</v>
      </c>
      <c r="N42">
        <v>-0.81075742926555705</v>
      </c>
      <c r="O42">
        <v>0.5950325794931004</v>
      </c>
      <c r="P42">
        <v>0.25581538354282779</v>
      </c>
      <c r="Q42">
        <v>0.65946377799689415</v>
      </c>
      <c r="R42">
        <v>-0.29841146555107301</v>
      </c>
      <c r="S42">
        <v>-0.20608393294548219</v>
      </c>
      <c r="T42">
        <v>-0.75408765668191791</v>
      </c>
      <c r="U42">
        <v>0.1092119567269059</v>
      </c>
      <c r="V42">
        <v>-0.51710630057119644</v>
      </c>
    </row>
    <row r="45" spans="1:22" ht="22.5" x14ac:dyDescent="0.3">
      <c r="A45" s="2" t="s">
        <v>308</v>
      </c>
    </row>
    <row r="46" spans="1:22" x14ac:dyDescent="0.25">
      <c r="A46" t="s">
        <v>159</v>
      </c>
      <c r="B46" t="s">
        <v>309</v>
      </c>
      <c r="C46" t="s">
        <v>310</v>
      </c>
      <c r="D46" t="s">
        <v>311</v>
      </c>
      <c r="E46" t="s">
        <v>312</v>
      </c>
      <c r="F46" t="s">
        <v>313</v>
      </c>
      <c r="G46" t="s">
        <v>314</v>
      </c>
      <c r="H46" t="s">
        <v>315</v>
      </c>
    </row>
    <row r="47" spans="1:22" x14ac:dyDescent="0.25">
      <c r="A47" t="s">
        <v>16</v>
      </c>
      <c r="B47">
        <v>-1.7013952040341371E-2</v>
      </c>
      <c r="C47">
        <v>-4.8771072487740243E-2</v>
      </c>
      <c r="D47">
        <v>3.1440126744301237E-2</v>
      </c>
      <c r="E47">
        <v>-2.077916838858046E-2</v>
      </c>
      <c r="F47">
        <v>4.9651815278262651E-2</v>
      </c>
      <c r="G47">
        <v>-2.0558561027448709E-2</v>
      </c>
      <c r="H47">
        <v>4.4724688065842788E-3</v>
      </c>
    </row>
    <row r="48" spans="1:22" x14ac:dyDescent="0.25">
      <c r="A48" t="s">
        <v>17</v>
      </c>
      <c r="B48">
        <v>214.7224019821297</v>
      </c>
      <c r="C48">
        <v>-81.372079461303656</v>
      </c>
      <c r="D48">
        <v>171.3206508135336</v>
      </c>
      <c r="E48">
        <v>-228.74058469009469</v>
      </c>
      <c r="F48">
        <v>315.67038030047843</v>
      </c>
      <c r="G48">
        <v>7.6542867325624684</v>
      </c>
      <c r="H48">
        <v>-182.13337005859651</v>
      </c>
    </row>
    <row r="49" spans="1:8" x14ac:dyDescent="0.25">
      <c r="A49" t="s">
        <v>18</v>
      </c>
      <c r="B49">
        <v>897.23871812899961</v>
      </c>
      <c r="C49">
        <v>-484.77259125008999</v>
      </c>
      <c r="D49">
        <v>-585.67665769747691</v>
      </c>
      <c r="E49">
        <v>-338.01616320030013</v>
      </c>
      <c r="F49">
        <v>1014.6888185317</v>
      </c>
      <c r="G49">
        <v>538.8197297461229</v>
      </c>
      <c r="H49">
        <v>164.6461403190406</v>
      </c>
    </row>
    <row r="50" spans="1:8" x14ac:dyDescent="0.25">
      <c r="A50" t="s">
        <v>19</v>
      </c>
      <c r="B50">
        <v>-380114.26550029218</v>
      </c>
      <c r="C50">
        <v>96068.571067243814</v>
      </c>
      <c r="D50">
        <v>-396338.39971285308</v>
      </c>
      <c r="E50">
        <v>-105488.196373675</v>
      </c>
      <c r="F50">
        <v>-603697.18329899013</v>
      </c>
      <c r="G50">
        <v>-5149.450906381011</v>
      </c>
      <c r="H50">
        <v>369833.79617448151</v>
      </c>
    </row>
    <row r="51" spans="1:8" x14ac:dyDescent="0.25">
      <c r="A51" t="s">
        <v>20</v>
      </c>
      <c r="B51">
        <v>-3.125E-2</v>
      </c>
      <c r="C51">
        <v>3.125E-2</v>
      </c>
      <c r="D51">
        <v>-3.125E-2</v>
      </c>
      <c r="E51">
        <v>-3.125E-2</v>
      </c>
      <c r="F51">
        <v>6.25E-2</v>
      </c>
      <c r="G51">
        <v>-6.25E-2</v>
      </c>
      <c r="H51">
        <v>3.125E-2</v>
      </c>
    </row>
    <row r="52" spans="1:8" x14ac:dyDescent="0.25">
      <c r="A52" t="s">
        <v>21</v>
      </c>
      <c r="B52">
        <v>4.6875000000000666E-3</v>
      </c>
      <c r="C52">
        <v>-1.0937499999999991E-2</v>
      </c>
      <c r="D52">
        <v>1.7187499999999939E-2</v>
      </c>
      <c r="E52">
        <v>-7.8125000000000555E-3</v>
      </c>
      <c r="F52">
        <v>4.6874999999999556E-3</v>
      </c>
      <c r="G52">
        <v>-1.5625000000000779E-3</v>
      </c>
      <c r="H52">
        <v>1.093749999999993E-2</v>
      </c>
    </row>
    <row r="53" spans="1:8" x14ac:dyDescent="0.25">
      <c r="A53" t="s">
        <v>22</v>
      </c>
      <c r="B53">
        <v>0.42524628974907941</v>
      </c>
      <c r="C53">
        <v>0.1021524499964279</v>
      </c>
      <c r="D53">
        <v>-0.67173749442684993</v>
      </c>
      <c r="E53">
        <v>-1.8337504872036451E-2</v>
      </c>
      <c r="F53">
        <v>-0.79098408342565207</v>
      </c>
      <c r="G53">
        <v>0.1713439390727238</v>
      </c>
      <c r="H53">
        <v>-0.86258885038989419</v>
      </c>
    </row>
    <row r="56" spans="1:8" ht="22.5" x14ac:dyDescent="0.3">
      <c r="A56" s="2" t="s">
        <v>316</v>
      </c>
    </row>
    <row r="57" spans="1:8" x14ac:dyDescent="0.25">
      <c r="A57" t="s">
        <v>159</v>
      </c>
      <c r="B57" t="s">
        <v>317</v>
      </c>
    </row>
    <row r="58" spans="1:8" x14ac:dyDescent="0.25">
      <c r="A58" t="s">
        <v>16</v>
      </c>
      <c r="B58">
        <v>-1.894037112153138E-2</v>
      </c>
    </row>
    <row r="59" spans="1:8" x14ac:dyDescent="0.25">
      <c r="A59" t="s">
        <v>17</v>
      </c>
      <c r="B59">
        <v>-187.51109093344709</v>
      </c>
    </row>
    <row r="60" spans="1:8" x14ac:dyDescent="0.25">
      <c r="A60" t="s">
        <v>18</v>
      </c>
      <c r="B60">
        <v>152.8632893741233</v>
      </c>
    </row>
    <row r="61" spans="1:8" x14ac:dyDescent="0.25">
      <c r="A61" t="s">
        <v>19</v>
      </c>
      <c r="B61">
        <v>203639.82721672949</v>
      </c>
    </row>
    <row r="62" spans="1:8" x14ac:dyDescent="0.25">
      <c r="A62" t="s">
        <v>20</v>
      </c>
      <c r="B62">
        <v>0</v>
      </c>
    </row>
    <row r="63" spans="1:8" x14ac:dyDescent="0.25">
      <c r="A63" t="s">
        <v>21</v>
      </c>
      <c r="B63">
        <v>4.6874999999999001E-3</v>
      </c>
    </row>
    <row r="64" spans="1:8" x14ac:dyDescent="0.25">
      <c r="A64" t="s">
        <v>22</v>
      </c>
      <c r="B64">
        <v>0.13065667631788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Experiments</vt:lpstr>
      <vt:lpstr>Efectes_Principals</vt:lpstr>
      <vt:lpstr>Interaccions_2Way</vt:lpstr>
      <vt:lpstr>Resum_Objectius</vt:lpstr>
      <vt:lpstr>Yates_min_nivell</vt:lpstr>
      <vt:lpstr>Yates_termica_imports</vt:lpstr>
      <vt:lpstr>Yates_excedents</vt:lpstr>
      <vt:lpstr>Yates_costos</vt:lpstr>
      <vt:lpstr>Yates_factor_capacitat</vt:lpstr>
      <vt:lpstr>Yates_amplitud_estacional</vt:lpstr>
      <vt:lpstr>Yates_msd_nivell</vt:lpstr>
      <vt:lpstr>Resum_Interaccions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Garcia</cp:lastModifiedBy>
  <dcterms:created xsi:type="dcterms:W3CDTF">2026-01-16T19:27:10Z</dcterms:created>
  <dcterms:modified xsi:type="dcterms:W3CDTF">2026-03-09T00:03:17Z</dcterms:modified>
</cp:coreProperties>
</file>